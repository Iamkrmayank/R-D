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251250097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75ee1c9fd8746e1"/>
    <x:sheet xmlns:r="http://schemas.openxmlformats.org/officeDocument/2006/relationships" name="Prompt Library" sheetId="2" r:id="Refc43769154b46ed"/>
    <x:sheet xmlns:r="http://schemas.openxmlformats.org/officeDocument/2006/relationships" name="Run Template" sheetId="3" r:id="Re209e9befe464057"/>
    <x:sheet xmlns:r="http://schemas.openxmlformats.org/officeDocument/2006/relationships" name="Lists" sheetId="4" r:id="R0ee579d2d6ca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4">
    <x:font>
      <x:sz val="11"/>
      <x:color theme="1"/>
      <x:name val="Calibri"/>
      <x:family val="2"/>
      <x:scheme val="minor"/>
    </x:font>
    <x:font>
      <x:b/>
      <x:sz val="16"/>
    </x:font>
    <x:font>
      <x:b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164" fontId="0" fillId="0" borderId="1" xfId="0" applyAlignment="1">
      <x:alignment vertical="top" wrapText="1"/>
    </x:xf>
    <x:xf numFmtId="0" fontId="3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dxfs count="1">
    <x:dxf>
      <x:fill>
        <x:patternFill>
          <x:bgColor rgb="00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edda169db4c21" /><Relationship Type="http://schemas.openxmlformats.org/officeDocument/2006/relationships/theme" Target="/xl/theme/theme1.xml" Id="R2fa441aa945049e5" /><Relationship Type="http://schemas.openxmlformats.org/officeDocument/2006/relationships/sharedStrings" Target="/xl/sharedStrings.xml" Id="Rbcc9a17ca1e04463" /><Relationship Type="http://schemas.openxmlformats.org/officeDocument/2006/relationships/worksheet" Target="/xl/worksheets/sheet1.xml" Id="Rf75ee1c9fd8746e1" /><Relationship Type="http://schemas.openxmlformats.org/officeDocument/2006/relationships/worksheet" Target="/xl/worksheets/sheet2.xml" Id="Refc43769154b46ed" /><Relationship Type="http://schemas.openxmlformats.org/officeDocument/2006/relationships/worksheet" Target="/xl/worksheets/sheet3.xml" Id="Re209e9befe464057" /><Relationship Type="http://schemas.openxmlformats.org/officeDocument/2006/relationships/worksheet" Target="/xl/worksheets/sheet4.xml" Id="R0ee579d2d6ca4b8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0" customWidth="1"/>
    <x:col min="2" max="2" width="15" customWidth="1"/>
  </x:cols>
  <x:sheetData>
    <x:row r="1">
      <x:c r="A1" s="1" t="inlineStr">
        <x:is>
          <x:t xml:space="preserve">News Benchmark Prompt Library (Template)</x:t>
        </x:is>
      </x:c>
    </x:row>
    <x:row r="3">
      <x:c r="A3" s="2" t="inlineStr">
        <x:is>
          <x:t xml:space="preserve">How to use:</x:t>
        </x:is>
      </x:c>
    </x:row>
    <x:row r="4">
      <x:c r="A4" t="inlineStr">
        <x:is>
          <x:t xml:space="preserve">1) Go to 'Prompt Library' to view/edit prompts.</x:t>
        </x:is>
      </x:c>
    </x:row>
    <x:row r="5">
      <x:c r="A5" t="inlineStr">
        <x:is>
          <x:t xml:space="preserve">2) Use 'Run Template' to paste results from your news search tool.</x:t>
        </x:is>
      </x:c>
    </x:row>
    <x:row r="6">
      <x:c r="A6" t="inlineStr">
        <x:is>
          <x:t xml:space="preserve">3) In Google Sheets: File → Import → Upload this .xlsx (or copy tabs).</x:t>
        </x:is>
      </x:c>
    </x:row>
    <x:row r="8">
      <x:c r="A8" s="2" t="inlineStr">
        <x:is>
          <x:t xml:space="preserve">Tips:</x:t>
        </x:is>
      </x:c>
    </x:row>
    <x:row r="9">
      <x:c r="A9" t="inlineStr">
        <x:is>
          <x:t xml:space="preserve">• 'Prompt Name' in Run Template is a dropdown. Sector/Window auto-fill via lookup.</x:t>
        </x:is>
      </x:c>
    </x:row>
    <x:row r="10">
      <x:c r="A10" t="inlineStr">
        <x:is>
          <x:t xml:space="preserve">• Keep 'Item Date' as a real date for filtering/sorting.</x:t>
        </x:is>
      </x:c>
    </x:row>
    <x:row r="11">
      <x:c r="A11" t="inlineStr">
        <x:is>
          <x:t xml:space="preserve">• Use one row per news item.</x:t>
        </x:is>
      </x:c>
    </x:row>
    <x:row r="13">
      <x:c r="A13" s="2" t="inlineStr">
        <x:is>
          <x:t xml:space="preserve">Created:</x:t>
        </x:is>
      </x:c>
      <x:c r="B13" t="inlineStr">
        <x:is>
          <x:t xml:space="preserve">2026-01-05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customWidth="1"/>
    <x:col min="2" max="2" width="26" customWidth="1"/>
    <x:col min="3" max="3" width="18" customWidth="1"/>
    <x:col min="4" max="4" width="10" customWidth="1"/>
    <x:col min="5" max="5" width="40" customWidth="1"/>
    <x:col min="6" max="6" width="110" customWidth="1"/>
  </x:cols>
  <x:sheetData>
    <x:row r="1">
      <x:c r="A1" s="3" t="inlineStr">
        <x:is>
          <x:t xml:space="preserve">Prompt Name</x:t>
        </x:is>
      </x:c>
      <x:c r="B1" s="3" t="inlineStr">
        <x:is>
          <x:t xml:space="preserve">Sector</x:t>
        </x:is>
      </x:c>
      <x:c r="C1" s="3" t="inlineStr">
        <x:is>
          <x:t xml:space="preserve">Time Window (days)</x:t>
        </x:is>
      </x:c>
      <x:c r="D1" s="3" t="inlineStr">
        <x:is>
          <x:t xml:space="preserve">Output N</x:t>
        </x:is>
      </x:c>
      <x:c r="E1" s="3" t="inlineStr">
        <x:is>
          <x:t xml:space="preserve">Required Fields</x:t>
        </x:is>
      </x:c>
      <x:c r="F1" s="3" t="inlineStr">
        <x:is>
          <x:t xml:space="preserve">Prompt Text</x:t>
        </x:is>
      </x:c>
    </x:row>
    <x:row r="2" ht="70" customHeight="1">
      <x:c r="A2" s="4" t="inlineStr">
        <x:is>
          <x:t xml:space="preserve">RegPulse-14</x:t>
        </x:is>
      </x:c>
      <x:c r="B2" s="4" t="inlineStr">
        <x:is>
          <x:t xml:space="preserve">Banking / Compliance</x:t>
        </x:is>
      </x:c>
      <x:c r="C2" s="4" t="n">
        <x:v>14</x:v>
      </x:c>
      <x:c r="D2" s="4" t="n">
        <x:v>10</x:v>
      </x:c>
      <x:c r="E2" s="4" t="inlineStr">
        <x:is>
          <x:t xml:space="preserve">headline, date, regulator/agency, summary (2 lines), source link</x:t>
        </x:is>
      </x:c>
      <x:c r="F2" s="4" t="inlineStr">
        <x:is>
          <x:t xml:space="preserve">Last 14 days: find major updates/news about US banking regulation (Basel, Fed, OCC, FDIC), AML/KYC enforcement, or compliance changes. Return top 10 with: headline, date, regulator/agency, summary (2 lines), and source link.</x:t>
        </x:is>
      </x:c>
    </x:row>
    <x:row r="3" ht="70" customHeight="1">
      <x:c r="A3" s="4" t="inlineStr">
        <x:is>
          <x:t xml:space="preserve">EnforceWatch-14</x:t>
        </x:is>
      </x:c>
      <x:c r="B3" s="4" t="inlineStr">
        <x:is>
          <x:t xml:space="preserve">Banking / Compliance</x:t>
        </x:is>
      </x:c>
      <x:c r="C3" s="4" t="n">
        <x:v>14</x:v>
      </x:c>
      <x:c r="D3" s="4" t="n">
        <x:v>10</x:v>
      </x:c>
      <x:c r="E3" s="4" t="inlineStr">
        <x:is>
          <x:t xml:space="preserve">headline, action date, agency, entity, issue category, summary (2 lines), source link</x:t>
        </x:is>
      </x:c>
      <x:c r="F3" s="4" t="inlineStr">
        <x:is>
          <x:t xml:space="preserve">Last 14 days: find the most important US banking enforcement actions involving Fed, OCC, FDIC, CFPB, FinCEN, DOJ (e.g., consent orders, civil money penalties, AML failures, unsafe banking practices). Return top 10 with: headline, action date, agency, entity, issue category, 2-line summary, and source link.</x:t>
        </x:is>
      </x:c>
    </x:row>
    <x:row r="4" ht="70" customHeight="1">
      <x:c r="A4" s="4" t="inlineStr">
        <x:is>
          <x:t xml:space="preserve">AML-KYC-Tracker-14</x:t>
        </x:is>
      </x:c>
      <x:c r="B4" s="4" t="inlineStr">
        <x:is>
          <x:t xml:space="preserve">Banking / Compliance</x:t>
        </x:is>
      </x:c>
      <x:c r="C4" s="4" t="n">
        <x:v>14</x:v>
      </x:c>
      <x:c r="D4" s="4" t="n">
        <x:v>10</x:v>
      </x:c>
      <x:c r="E4" s="4" t="inlineStr">
        <x:is>
          <x:t xml:space="preserve">headline, date, agency, topic bucket, summary (2 lines), source link</x:t>
        </x:is>
      </x:c>
      <x:c r="F4" s="4" t="inlineStr">
        <x:is>
          <x:t xml:space="preserve">Last 14 days: track key developments in BSA/AML, KYC, SARs, transaction monitoring, beneficial ownership/CTA, and FinCEN guidance/enforcement relevant to banks. Return top 10 with: headline, date, agency, topic bucket, 2-line summary, source link.</x:t>
        </x:is>
      </x:c>
    </x:row>
    <x:row r="5" ht="70" customHeight="1">
      <x:c r="A5" s="4" t="inlineStr">
        <x:is>
          <x:t xml:space="preserve">CapitalRules-Radar-30</x:t>
        </x:is>
      </x:c>
      <x:c r="B5" s="4" t="inlineStr">
        <x:is>
          <x:t xml:space="preserve">Banking / Compliance</x:t>
        </x:is>
      </x:c>
      <x:c r="C5" s="4" t="n">
        <x:v>30</x:v>
      </x:c>
      <x:c r="D5" s="4" t="n">
        <x:v>10</x:v>
      </x:c>
      <x:c r="E5" s="4" t="inlineStr">
        <x:is>
          <x:t xml:space="preserve">headline, date, authority, rule area, summary (2 lines), source link</x:t>
        </x:is>
      </x:c>
      <x:c r="F5" s="4" t="inlineStr">
        <x:is>
          <x:t xml:space="preserve">Last 30 days: find updates on Basel capital standards, US capital/liquidity rules, stress testing (CCAR/DFAST), and related Fed/OCC/FDIC statements. Return top 10 with: headline, date, authority, rule area (capital/liquidity/stress test), 2-line summary, source link.</x:t>
        </x:is>
      </x:c>
    </x:row>
    <x:row r="6" ht="70" customHeight="1">
      <x:c r="A6" s="4" t="inlineStr">
        <x:is>
          <x:t xml:space="preserve">SupervisionGuidance-Lens-14</x:t>
        </x:is>
      </x:c>
      <x:c r="B6" s="4" t="inlineStr">
        <x:is>
          <x:t xml:space="preserve">Banking / Compliance</x:t>
        </x:is>
      </x:c>
      <x:c r="C6" s="4" t="n">
        <x:v>14</x:v>
      </x:c>
      <x:c r="D6" s="4" t="n">
        <x:v>10</x:v>
      </x:c>
      <x:c r="E6" s="4" t="inlineStr">
        <x:is>
          <x:t xml:space="preserve">headline, date, regulator, guidance type, what changed, summary (2 lines), source link</x:t>
        </x:is>
      </x:c>
      <x:c r="F6" s="4" t="inlineStr">
        <x:is>
          <x:t xml:space="preserve">Last 14 days: capture new/updated supervisory guidance from Fed (SR letters), OCC (bulletins), FDIC (FILs) on governance, model risk, third-party risk, operational risk, compliance programs. Return top 10 with: headline, date, regulator, guidance type, what changed (1 line), 2-line summary, source link.</x:t>
        </x:is>
      </x:c>
    </x:row>
    <x:row r="7" ht="70" customHeight="1">
      <x:c r="A7" s="4" t="inlineStr">
        <x:is>
          <x:t xml:space="preserve">SanctionsBanking-Brief-14</x:t>
        </x:is>
      </x:c>
      <x:c r="B7" s="4" t="inlineStr">
        <x:is>
          <x:t xml:space="preserve">Banking / Compliance</x:t>
        </x:is>
      </x:c>
      <x:c r="C7" s="4" t="n">
        <x:v>14</x:v>
      </x:c>
      <x:c r="D7" s="4" t="n">
        <x:v>10</x:v>
      </x:c>
      <x:c r="E7" s="4" t="inlineStr">
        <x:is>
          <x:t xml:space="preserve">headline, date, authority, sanctions theme, summary (2 lines), source link</x:t>
        </x:is>
      </x:c>
      <x:c r="F7" s="4" t="inlineStr">
        <x:is>
          <x:t xml:space="preserve">Last 14 days: find major updates affecting sanctions compliance for banks: OFAC actions, Treasury/DOJ advisories, notable enforcement, sanctions evasion typologies relevant to payments/correspondent banking. Return top 10 with: headline, date, authority, sanctions theme, 2-line summary, source link.</x:t>
        </x:is>
      </x:c>
    </x:row>
    <x:row r="8" ht="70" customHeight="1">
      <x:c r="A8" s="4" t="inlineStr">
        <x:is>
          <x:t xml:space="preserve">CryptoBanking-PolicyScan-30</x:t>
        </x:is>
      </x:c>
      <x:c r="B8" s="4" t="inlineStr">
        <x:is>
          <x:t xml:space="preserve">Banking / Compliance</x:t>
        </x:is>
      </x:c>
      <x:c r="C8" s="4" t="n">
        <x:v>30</x:v>
      </x:c>
      <x:c r="D8" s="4" t="n">
        <x:v>10</x:v>
      </x:c>
      <x:c r="E8" s="4" t="inlineStr">
        <x:is>
          <x:t xml:space="preserve">headline, date, regulator, topic bucket, summary (2 lines), source link</x:t>
        </x:is>
      </x:c>
      <x:c r="F8" s="4" t="inlineStr">
        <x:is>
          <x:t xml:space="preserve">Last 30 days: find US regulatory updates on crypto/digital assets in banking (custody, stablecoins, banking access, enforcement, prudential guidance) from Fed, OCC, FDIC, SEC, CFTC. Return top 10 with: headline, date, regulator, topic bucket, 2-line summary, source link.</x:t>
        </x:is>
      </x:c>
    </x:row>
    <x:row r="9" ht="70" customHeight="1">
      <x:c r="A9" s="4" t="inlineStr">
        <x:is>
          <x:t xml:space="preserve">ConsumerCompliance-Flash-14</x:t>
        </x:is>
      </x:c>
      <x:c r="B9" s="4" t="inlineStr">
        <x:is>
          <x:t xml:space="preserve">Banking / Compliance</x:t>
        </x:is>
      </x:c>
      <x:c r="C9" s="4" t="n">
        <x:v>14</x:v>
      </x:c>
      <x:c r="D9" s="4" t="n">
        <x:v>10</x:v>
      </x:c>
      <x:c r="E9" s="4" t="inlineStr">
        <x:is>
          <x:t xml:space="preserve">headline, date, regulator, product area, summary (2 lines), source link</x:t>
        </x:is>
      </x:c>
      <x:c r="F9" s="4" t="inlineStr">
        <x:is>
          <x:t xml:space="preserve">Last 14 days: identify major consumer compliance developments affecting banks (CFPB rules/enforcement, UDAAP, overdraft, fair lending, credit reporting, BNPL). Return top 10 with: headline, date, regulator, product area, 2-line summary, source link.</x:t>
        </x:is>
      </x:c>
    </x:row>
    <x:row r="10" ht="70" customHeight="1">
      <x:c r="A10" s="4" t="inlineStr">
        <x:is>
          <x:t xml:space="preserve">CyberOpsResilience-Scan-30</x:t>
        </x:is>
      </x:c>
      <x:c r="B10" s="4" t="inlineStr">
        <x:is>
          <x:t xml:space="preserve">Banking / Compliance</x:t>
        </x:is>
      </x:c>
      <x:c r="C10" s="4" t="n">
        <x:v>30</x:v>
      </x:c>
      <x:c r="D10" s="4" t="n">
        <x:v>10</x:v>
      </x:c>
      <x:c r="E10" s="4" t="inlineStr">
        <x:is>
          <x:t xml:space="preserve">headline, date, authority, risk type, summary (2 lines), source link</x:t>
        </x:is>
      </x:c>
      <x:c r="F10" s="4" t="inlineStr">
        <x:is>
          <x:t xml:space="preserve">Last 30 days: find compliance-relevant updates on cybersecurity, incident reporting, operational resilience, and third-party/vendor risk for US banks (regulator guidance, enforcement, major incidents + regulatory response). Return top 10 with: headline, date, authority, risk type, 2-line summary, source link.</x:t>
        </x:is>
      </x:c>
    </x:row>
    <x:row r="11" ht="70" customHeight="1">
      <x:c r="A11" s="4" t="inlineStr">
        <x:is>
          <x:t xml:space="preserve">CourtroomImpact-BankingRules-60</x:t>
        </x:is>
      </x:c>
      <x:c r="B11" s="4" t="inlineStr">
        <x:is>
          <x:t xml:space="preserve">Banking / Compliance</x:t>
        </x:is>
      </x:c>
      <x:c r="C11" s="4" t="n">
        <x:v>60</x:v>
      </x:c>
      <x:c r="D11" s="4" t="n">
        <x:v>10</x:v>
      </x:c>
      <x:c r="E11" s="4" t="inlineStr">
        <x:is>
          <x:t xml:space="preserve">headline, decision date, court/authority, rule impacted, summary (2 lines), source link</x:t>
        </x:is>
      </x:c>
      <x:c r="F11" s="4" t="inlineStr">
        <x:is>
          <x:t xml:space="preserve">Last 60 days: track significant court rulings / legal actions that impact US banking regulation or compliance (e.g., challenges to agency rules, AML/BOI/CTA litigation, CFPB authority issues). Return top 10 with: headline, decision date, court/authority, rule impacted, 2-line summary, source link.</x:t>
        </x:is>
      </x:c>
    </x:row>
    <x:row r="12" ht="70" customHeight="1">
      <x:c r="A12" s="4" t="inlineStr">
        <x:is>
          <x:t xml:space="preserve">ETFLaunchpad-7</x:t>
        </x:is>
      </x:c>
      <x:c r="B12" s="4" t="inlineStr">
        <x:is>
          <x:t xml:space="preserve">Asset Management</x:t>
        </x:is>
      </x:c>
      <x:c r="C12" s="4" t="n">
        <x:v>7</x:v>
      </x:c>
      <x:c r="D12" s="4" t="n">
        <x:v>12</x:v>
      </x:c>
      <x:c r="E12" s="4" t="inlineStr">
        <x:is>
          <x:t xml:space="preserve">firm/issuer, ETF name/ticker, category, date, why it matters (1 line), link</x:t>
        </x:is>
      </x:c>
      <x:c r="F12" s="4" t="inlineStr">
        <x:is>
          <x:t xml:space="preserve">Last 7 days: find top news on asset management focused on ETF launches/filings/approvals (active ETFs, thematic, crypto-related ETFs if relevant, index changes). Return top 12 with: firm/issuer, ETF name/ticker (if available), category (launch/filing/approval), date, 1-line why it matters, link.</x:t>
        </x:is>
      </x:c>
    </x:row>
    <x:row r="13" ht="70" customHeight="1">
      <x:c r="A13" s="4" t="inlineStr">
        <x:is>
          <x:t xml:space="preserve">FundFlowsRadar-7</x:t>
        </x:is>
      </x:c>
      <x:c r="B13" s="4" t="inlineStr">
        <x:is>
          <x:t xml:space="preserve">Asset Management</x:t>
        </x:is>
      </x:c>
      <x:c r="C13" s="4" t="n">
        <x:v>7</x:v>
      </x:c>
      <x:c r="D13" s="4" t="n">
        <x:v>12</x:v>
      </x:c>
      <x:c r="E13" s="4" t="inlineStr">
        <x:is>
          <x:t xml:space="preserve">firm/product, flow direction, magnitude, category, date, link</x:t>
        </x:is>
      </x:c>
      <x:c r="F13" s="4" t="inlineStr">
        <x:is>
          <x:t xml:space="preserve">Last 7 days: find major fund flow stories in asset management (ETF flows, mutual fund flows, institutional allocations, sector/region rotation). Return top 12 with: firm/product, flow direction (+/-), magnitude (if reported), category (ETF/mutual/insti), date, link.</x:t>
        </x:is>
      </x:c>
    </x:row>
    <x:row r="14" ht="70" customHeight="1">
      <x:c r="A14" s="4" t="inlineStr">
        <x:is>
          <x:t xml:space="preserve">FeeWarWatch-7</x:t>
        </x:is>
      </x:c>
      <x:c r="B14" s="4" t="inlineStr">
        <x:is>
          <x:t xml:space="preserve">Asset Management</x:t>
        </x:is>
      </x:c>
      <x:c r="C14" s="4" t="n">
        <x:v>7</x:v>
      </x:c>
      <x:c r="D14" s="4" t="n">
        <x:v>12</x:v>
      </x:c>
      <x:c r="E14" s="4" t="inlineStr">
        <x:is>
          <x:t xml:space="preserve">firm, product, fee change, category, date, link</x:t>
        </x:is>
      </x:c>
      <x:c r="F14" s="4" t="inlineStr">
        <x:is>
          <x:t xml:space="preserve">Last 7 days: find news about fee cuts / pricing changes (expense ratio reductions, zero-fee offers, share class pricing changes, platform fee changes) in asset management. Return top 12 with: firm, product, fee change (before→after if available), category (fees/pricing), date, link.</x:t>
        </x:is>
      </x:c>
    </x:row>
    <x:row r="15" ht="70" customHeight="1">
      <x:c r="A15" s="4" t="inlineStr">
        <x:is>
          <x:t xml:space="preserve">StrategyShiftBrief-7</x:t>
        </x:is>
      </x:c>
      <x:c r="B15" s="4" t="inlineStr">
        <x:is>
          <x:t xml:space="preserve">Asset Management</x:t>
        </x:is>
      </x:c>
      <x:c r="C15" s="4" t="n">
        <x:v>7</x:v>
      </x:c>
      <x:c r="D15" s="4" t="n">
        <x:v>12</x:v>
      </x:c>
      <x:c r="E15" s="4" t="inlineStr">
        <x:is>
          <x:t xml:space="preserve">firm, strategy change, category, date, link</x:t>
        </x:is>
      </x:c>
      <x:c r="F15" s="4" t="inlineStr">
        <x:is>
          <x:t xml:space="preserve">Last 7 days: find major strategy shifts by asset managers (new product lines, closing funds, changing benchmarks, ESG policy shifts, factor/quant re-positioning, private markets push). Return top 12 with: firm, strategy change, category (strategy), date, link.</x:t>
        </x:is>
      </x:c>
    </x:row>
    <x:row r="16" ht="70" customHeight="1">
      <x:c r="A16" s="4" t="inlineStr">
        <x:is>
          <x:t xml:space="preserve">PeopleMovesPulse-7</x:t>
        </x:is>
      </x:c>
      <x:c r="B16" s="4" t="inlineStr">
        <x:is>
          <x:t xml:space="preserve">Asset Management</x:t>
        </x:is>
      </x:c>
      <x:c r="C16" s="4" t="n">
        <x:v>7</x:v>
      </x:c>
      <x:c r="D16" s="4" t="n">
        <x:v>12</x:v>
      </x:c>
      <x:c r="E16" s="4" t="inlineStr">
        <x:is>
          <x:t xml:space="preserve">firm, person/team, role change, category, date, link</x:t>
        </x:is>
      </x:c>
      <x:c r="F16" s="4" t="inlineStr">
        <x:is>
          <x:t xml:space="preserve">Last 7 days: track major portfolio manager/team moves in asset management (CIO changes, star PM departures, team lifts, leadership reshuffles). Return top 12 with: firm, person/team, role change, category (people), date, link.</x:t>
        </x:is>
      </x:c>
    </x:row>
    <x:row r="17" ht="70" customHeight="1">
      <x:c r="A17" s="4" t="inlineStr">
        <x:is>
          <x:t xml:space="preserve">M&amp;AConsolidation-14</x:t>
        </x:is>
      </x:c>
      <x:c r="B17" s="4" t="inlineStr">
        <x:is>
          <x:t xml:space="preserve">Asset Management</x:t>
        </x:is>
      </x:c>
      <x:c r="C17" s="4" t="n">
        <x:v>14</x:v>
      </x:c>
      <x:c r="D17" s="4" t="n">
        <x:v>12</x:v>
      </x:c>
      <x:c r="E17" s="4" t="inlineStr">
        <x:is>
          <x:t xml:space="preserve">firms involved, deal type, disclosed value, category, date, link</x:t>
        </x:is>
      </x:c>
      <x:c r="F17" s="4" t="inlineStr">
        <x:is>
          <x:t xml:space="preserve">Last 14 days: find top news on M&amp;A / consolidation in asset management (acquisitions, stake sales, JV launches, strategic partnerships). Return top 12 with: firm(s) involved, deal type, disclosed value (if any), category (M&amp;A/partnership), date, link.</x:t>
        </x:is>
      </x:c>
    </x:row>
    <x:row r="18" ht="70" customHeight="1">
      <x:c r="A18" s="4" t="inlineStr">
        <x:is>
          <x:t xml:space="preserve">AltAssetsPush-7</x:t>
        </x:is>
      </x:c>
      <x:c r="B18" s="4" t="inlineStr">
        <x:is>
          <x:t xml:space="preserve">Asset Management</x:t>
        </x:is>
      </x:c>
      <x:c r="C18" s="4" t="n">
        <x:v>7</x:v>
      </x:c>
      <x:c r="D18" s="4" t="n">
        <x:v>12</x:v>
      </x:c>
      <x:c r="E18" s="4" t="inlineStr">
        <x:is>
          <x:t xml:space="preserve">firm, product/vehicle, category, date, link</x:t>
        </x:is>
      </x:c>
      <x:c r="F18" s="4" t="inlineStr">
        <x:is>
          <x:t xml:space="preserve">Last 7 days: find major asset management news on alternatives (private credit, private equity, real estate funds, interval funds, tender offer funds, semi-liquid products). Return top 12 with: firm, product/vehicle, category (alts), date, link.</x:t>
        </x:is>
      </x:c>
    </x:row>
    <x:row r="19" ht="70" customHeight="1">
      <x:c r="A19" s="4" t="inlineStr">
        <x:is>
          <x:t xml:space="preserve">RegulatoryWatch-AM-7</x:t>
        </x:is>
      </x:c>
      <x:c r="B19" s="4" t="inlineStr">
        <x:is>
          <x:t xml:space="preserve">Asset Management</x:t>
        </x:is>
      </x:c>
      <x:c r="C19" s="4" t="n">
        <x:v>7</x:v>
      </x:c>
      <x:c r="D19" s="4" t="n">
        <x:v>12</x:v>
      </x:c>
      <x:c r="E19" s="4" t="inlineStr">
        <x:is>
          <x:t xml:space="preserve">authority, affected firms, category, date, link</x:t>
        </x:is>
      </x:c>
      <x:c r="F19" s="4" t="inlineStr">
        <x:is>
          <x:t xml:space="preserve">Last 7 days: find key regulatory/compliance developments affecting asset managers and funds (SEC rules, enforcement, disclosure, liquidity, custody, marketing rule actions). Return top 12 with: authority, affected firms (if any), category (regulatory/enforcement), date, link.</x:t>
        </x:is>
      </x:c>
    </x:row>
    <x:row r="20" ht="70" customHeight="1">
      <x:c r="A20" s="4" t="inlineStr">
        <x:is>
          <x:t xml:space="preserve">IndexRebalanceImpact-7</x:t>
        </x:is>
      </x:c>
      <x:c r="B20" s="4" t="inlineStr">
        <x:is>
          <x:t xml:space="preserve">Asset Management</x:t>
        </x:is>
      </x:c>
      <x:c r="C20" s="4" t="n">
        <x:v>7</x:v>
      </x:c>
      <x:c r="D20" s="4" t="n">
        <x:v>12</x:v>
      </x:c>
      <x:c r="E20" s="4" t="inlineStr">
        <x:is>
          <x:t xml:space="preserve">index provider, impacted firm/fund, category, date, link</x:t>
        </x:is>
      </x:c>
      <x:c r="F20" s="4" t="inlineStr">
        <x:is>
          <x:t xml:space="preserve">Last 7 days: find news on index methodology changes / rebalances that materially affect funds/ETFs (MSCI/FTSE/S&amp;P index changes, inclusion/exclusion events, major reconstitution flows). Return top 12 with: index provider, impacted firm/fund (if known), category (index), date, link.</x:t>
        </x:is>
      </x:c>
    </x:row>
    <x:row r="21" ht="70" customHeight="1">
      <x:c r="A21" s="4" t="inlineStr">
        <x:is>
          <x:t xml:space="preserve">DistributionPlatforms-7</x:t>
        </x:is>
      </x:c>
      <x:c r="B21" s="4" t="inlineStr">
        <x:is>
          <x:t xml:space="preserve">Asset Management</x:t>
        </x:is>
      </x:c>
      <x:c r="C21" s="4" t="n">
        <x:v>7</x:v>
      </x:c>
      <x:c r="D21" s="4" t="n">
        <x:v>12</x:v>
      </x:c>
      <x:c r="E21" s="4" t="inlineStr">
        <x:is>
          <x:t xml:space="preserve">platform/firm, impacted manager/fund, category, date, link</x:t>
        </x:is>
      </x:c>
      <x:c r="F21" s="4" t="inlineStr">
        <x:is>
          <x:t xml:space="preserve">Last 7 days: find news on distribution and platforms impacting asset managers (wirehouse platform adds/drops, model portfolio changes, RIA platform shifts, brokerage restrictions). Return top 12 with: platform/firm, impacted manager/fund, category (distribution), date, link.</x:t>
        </x:is>
      </x:c>
    </x:row>
    <x:row r="22" ht="70" customHeight="1">
      <x:c r="A22" s="4" t="inlineStr">
        <x:is>
          <x:t xml:space="preserve">PrivateCredit-DealRoom-30</x:t>
        </x:is>
      </x:c>
      <x:c r="B22" s="4" t="inlineStr">
        <x:is>
          <x:t xml:space="preserve">Private Markets</x:t>
        </x:is>
      </x:c>
      <x:c r="C22" s="4" t="n">
        <x:v>30</x:v>
      </x:c>
      <x:c r="D22" s="4" t="n">
        <x:v>12</x:v>
      </x:c>
      <x:c r="E22" s="4" t="inlineStr">
        <x:is>
          <x:t xml:space="preserve">deal type, borrower/asset, lender/manager, value, date, link</x:t>
        </x:is>
      </x:c>
      <x:c r="F22" s="4" t="inlineStr">
        <x:is>
          <x:t xml:space="preserve">Last 30 days: find key developments in private credit (direct lending, NAV loans, unitranche, opportunistic credit): big financings, refinancings, lender syndicates, covenant/reset stories. Return top 12 with: deal type, borrower/asset, lender/manager, value (if available), date, link.</x:t>
        </x:is>
      </x:c>
    </x:row>
    <x:row r="23" ht="70" customHeight="1">
      <x:c r="A23" s="4" t="inlineStr">
        <x:is>
          <x:t xml:space="preserve">PE-MegaDeals-30</x:t>
        </x:is>
      </x:c>
      <x:c r="B23" s="4" t="inlineStr">
        <x:is>
          <x:t xml:space="preserve">Private Markets</x:t>
        </x:is>
      </x:c>
      <x:c r="C23" s="4" t="n">
        <x:v>30</x:v>
      </x:c>
      <x:c r="D23" s="4" t="n">
        <x:v>12</x:v>
      </x:c>
      <x:c r="E23" s="4" t="inlineStr">
        <x:is>
          <x:t xml:space="preserve">deal type, target, sponsor(s), value, date, link</x:t>
        </x:is>
      </x:c>
      <x:c r="F23" s="4" t="inlineStr">
        <x:is>
          <x:t xml:space="preserve">Last 30 days: find top private equity deal headlines (buyouts, carve-outs, take-privates, PIPEs led by PE). Return top 12 with: deal type, target, sponsor(s), value (if available), date, link.</x:t>
        </x:is>
      </x:c>
    </x:row>
    <x:row r="24" ht="70" customHeight="1">
      <x:c r="A24" s="4" t="inlineStr">
        <x:is>
          <x:t xml:space="preserve">VC-FundingPulse-30</x:t>
        </x:is>
      </x:c>
      <x:c r="B24" s="4" t="inlineStr">
        <x:is>
          <x:t xml:space="preserve">Private Markets</x:t>
        </x:is>
      </x:c>
      <x:c r="C24" s="4" t="n">
        <x:v>30</x:v>
      </x:c>
      <x:c r="D24" s="4" t="n">
        <x:v>12</x:v>
      </x:c>
      <x:c r="E24" s="4" t="inlineStr">
        <x:is>
          <x:t xml:space="preserve">deal type, company, lead investor(s), value, date, link</x:t>
        </x:is>
      </x:c>
      <x:c r="F24" s="4" t="inlineStr">
        <x:is>
          <x:t xml:space="preserve">Last 30 days: find major venture rounds and VC market signals (mega-rounds, down-rounds, bridge rounds, shutdowns). Return top 12 with: deal type (Series A/B/C…/bridge), company, lead investor(s), value (if available), date, link.</x:t>
        </x:is>
      </x:c>
    </x:row>
    <x:row r="25" ht="70" customHeight="1">
      <x:c r="A25" s="4" t="inlineStr">
        <x:is>
          <x:t xml:space="preserve">FundraisingScoreboard-30</x:t>
        </x:is>
      </x:c>
      <x:c r="B25" s="4" t="inlineStr">
        <x:is>
          <x:t xml:space="preserve">Private Markets</x:t>
        </x:is>
      </x:c>
      <x:c r="C25" s="4" t="n">
        <x:v>30</x:v>
      </x:c>
      <x:c r="D25" s="4" t="n">
        <x:v>12</x:v>
      </x:c>
      <x:c r="E25" s="4" t="inlineStr">
        <x:is>
          <x:t xml:space="preserve">fund type, manager, fund size target/close, date, link</x:t>
        </x:is>
      </x:c>
      <x:c r="F25" s="4" t="inlineStr">
        <x:is>
          <x:t xml:space="preserve">Last 30 days: track major fundraising closes/launches across private markets (PE funds, VC funds, private credit, infrastructure, real estate). Return top 12 with: fund type, manager, fund size target/close (if available), date, link.</x:t>
        </x:is>
      </x:c>
    </x:row>
    <x:row r="26" ht="70" customHeight="1">
      <x:c r="A26" s="4" t="inlineStr">
        <x:is>
          <x:t xml:space="preserve">Secondaries-Signal-30</x:t>
        </x:is>
      </x:c>
      <x:c r="B26" s="4" t="inlineStr">
        <x:is>
          <x:t xml:space="preserve">Private Markets</x:t>
        </x:is>
      </x:c>
      <x:c r="C26" s="4" t="n">
        <x:v>30</x:v>
      </x:c>
      <x:c r="D26" s="4" t="n">
        <x:v>12</x:v>
      </x:c>
      <x:c r="E26" s="4" t="inlineStr">
        <x:is>
          <x:t xml:space="preserve">deal type, seller/buyer/GP, value, date, link</x:t>
        </x:is>
      </x:c>
      <x:c r="F26" s="4" t="inlineStr">
        <x:is>
          <x:t xml:space="preserve">Last 30 days: find key news in secondaries (LP stake sales, GP-led continuation funds, tender offers, secondary fundraises). Return top 12 with: deal type (LP-led/GP-led/tender), seller/buyer/GP, value (if available), date, link.</x:t>
        </x:is>
      </x:c>
    </x:row>
    <x:row r="27" ht="70" customHeight="1">
      <x:c r="A27" s="4" t="inlineStr">
        <x:is>
          <x:t xml:space="preserve">ValuationMarkdowns-Watch-30</x:t>
        </x:is>
      </x:c>
      <x:c r="B27" s="4" t="inlineStr">
        <x:is>
          <x:t xml:space="preserve">Private Markets</x:t>
        </x:is>
      </x:c>
      <x:c r="C27" s="4" t="n">
        <x:v>30</x:v>
      </x:c>
      <x:c r="D27" s="4" t="n">
        <x:v>12</x:v>
      </x:c>
      <x:c r="E27" s="4" t="inlineStr">
        <x:is>
          <x:t xml:space="preserve">asset/company, manager/fund, markdown magnitude, date, link</x:t>
        </x:is>
      </x:c>
      <x:c r="F27" s="4" t="inlineStr">
        <x:is>
          <x:t xml:space="preserve">Last 30 days: find evidence of valuation markdowns / write-downs / impairments in private markets (portfolio marks, NAV declines, fund letters disclosed, audited markdowns). Return top 12 with: asset/company, manager/fund (if named), markdown magnitude (if available), date, link.</x:t>
        </x:is>
      </x:c>
    </x:row>
    <x:row r="28" ht="70" customHeight="1">
      <x:c r="A28" s="4" t="inlineStr">
        <x:is>
          <x:t xml:space="preserve">RealAssets-Infrastructure-30</x:t>
        </x:is>
      </x:c>
      <x:c r="B28" s="4" t="inlineStr">
        <x:is>
          <x:t xml:space="preserve">Private Markets</x:t>
        </x:is>
      </x:c>
      <x:c r="C28" s="4" t="n">
        <x:v>30</x:v>
      </x:c>
      <x:c r="D28" s="4" t="n">
        <x:v>12</x:v>
      </x:c>
      <x:c r="E28" s="4" t="inlineStr">
        <x:is>
          <x:t xml:space="preserve">deal type, asset/project, sponsor/investors, value, date, link</x:t>
        </x:is>
      </x:c>
      <x:c r="F28" s="4" t="inlineStr">
        <x:is>
          <x:t xml:space="preserve">Last 30 days: find major private market deals in infrastructure &amp; real assets (energy transition, utilities, transport, data centers, renewables). Return top 12 with: deal type, asset/project, sponsor/investors, value (if available), date, link.</x:t>
        </x:is>
      </x:c>
    </x:row>
    <x:row r="29" ht="70" customHeight="1">
      <x:c r="A29" s="4" t="inlineStr">
        <x:is>
          <x:t xml:space="preserve">PrivateRE-CapitalMoves-30</x:t>
        </x:is>
      </x:c>
      <x:c r="B29" s="4" t="inlineStr">
        <x:is>
          <x:t xml:space="preserve">Private Markets</x:t>
        </x:is>
      </x:c>
      <x:c r="C29" s="4" t="n">
        <x:v>30</x:v>
      </x:c>
      <x:c r="D29" s="4" t="n">
        <x:v>12</x:v>
      </x:c>
      <x:c r="E29" s="4" t="inlineStr">
        <x:is>
          <x:t xml:space="preserve">deal type, property/portfolio, buyer/sponsor/lender, value, date, link</x:t>
        </x:is>
      </x:c>
      <x:c r="F29" s="4" t="inlineStr">
        <x:is>
          <x:t xml:space="preserve">Last 30 days: track private real estate capital events (property acquisitions, recapitalizations, debt deals, distress sales, fund closures). Return top 12 with: deal type, property/portfolio, buyer/sponsor/lender, value (if available), date, link.</x:t>
        </x:is>
      </x:c>
    </x:row>
    <x:row r="30" ht="70" customHeight="1">
      <x:c r="A30" s="4" t="inlineStr">
        <x:is>
          <x:t xml:space="preserve">GP-LPGovernance-30</x:t>
        </x:is>
      </x:c>
      <x:c r="B30" s="4" t="inlineStr">
        <x:is>
          <x:t xml:space="preserve">Private Markets</x:t>
        </x:is>
      </x:c>
      <x:c r="C30" s="4" t="n">
        <x:v>30</x:v>
      </x:c>
      <x:c r="D30" s="4" t="n">
        <x:v>12</x:v>
      </x:c>
      <x:c r="E30" s="4" t="inlineStr">
        <x:is>
          <x:t xml:space="preserve">event type, firm/fund, change/issue, date, link</x:t>
        </x:is>
      </x:c>
      <x:c r="F30" s="4" t="inlineStr">
        <x:is>
          <x:t xml:space="preserve">Last 30 days: find key developments impacting GP–LP dynamics (fee model changes, preferred return shifts, transparency disputes, SEC-related fund governance impacts, side letter trends). Return top 12 with: event type, firm/fund, change/issue (1 line), date, link.</x:t>
        </x:is>
      </x:c>
    </x:row>
    <x:row r="31" ht="70" customHeight="1">
      <x:c r="A31" s="4" t="inlineStr">
        <x:is>
          <x:t xml:space="preserve">CreditStress-Defaults-30</x:t>
        </x:is>
      </x:c>
      <x:c r="B31" s="4" t="inlineStr">
        <x:is>
          <x:t xml:space="preserve">Private Markets</x:t>
        </x:is>
      </x:c>
      <x:c r="C31" s="4" t="n">
        <x:v>30</x:v>
      </x:c>
      <x:c r="D31" s="4" t="n">
        <x:v>12</x:v>
      </x:c>
      <x:c r="E31" s="4" t="inlineStr">
        <x:is>
          <x:t xml:space="preserve">event type, company, sponsor/lender, value, date, link</x:t>
        </x:is>
      </x:c>
      <x:c r="F31" s="4" t="inlineStr">
        <x:is>
          <x:t xml:space="preserve">Last 30 days: identify private markets stories showing stress (defaults, restructurings, covenant breaches, rescue financings) especially in sponsor-backed companies. Return top 12 with: event type (default/restructure/rescue), company, sponsor/lender (if available), value (if available), date, link.</x:t>
        </x:is>
      </x:c>
    </x:row>
    <x:row r="32" ht="70" customHeight="1">
      <x:c r="A32" s="4" t="inlineStr">
        <x:is>
          <x:t xml:space="preserve">BankAIDeployments-14</x:t>
        </x:is>
      </x:c>
      <x:c r="B32" s="4" t="inlineStr">
        <x:is>
          <x:t xml:space="preserve">AI/Data in Financial Services</x:t>
        </x:is>
      </x:c>
      <x:c r="C32" s="4" t="n">
        <x:v>14</x:v>
      </x:c>
      <x:c r="D32" s="4" t="n">
        <x:v>10</x:v>
      </x:c>
      <x:c r="E32" s="4" t="inlineStr">
        <x:is>
          <x:t xml:space="preserve">org, use-case, vendor/partner, date, link</x:t>
        </x:is>
      </x:c>
      <x:c r="F32" s="4" t="inlineStr">
        <x:is>
          <x:t xml:space="preserve">Last 14 days: find news where banks announce AI deployments (fraud, AML, risk, credit, collections, onboarding, customer service). Return top 10 with: org, use-case, vendor/partner (if any), date, link.</x:t>
        </x:is>
      </x:c>
    </x:row>
    <x:row r="33" ht="70" customHeight="1">
      <x:c r="A33" s="4" t="inlineStr">
        <x:is>
          <x:t xml:space="preserve">AssetMgrAI-14</x:t>
        </x:is>
      </x:c>
      <x:c r="B33" s="4" t="inlineStr">
        <x:is>
          <x:t xml:space="preserve">AI/Data in Financial Services</x:t>
        </x:is>
      </x:c>
      <x:c r="C33" s="4" t="n">
        <x:v>14</x:v>
      </x:c>
      <x:c r="D33" s="4" t="n">
        <x:v>10</x:v>
      </x:c>
      <x:c r="E33" s="4" t="inlineStr">
        <x:is>
          <x:t xml:space="preserve">org, use-case, vendor, date, link</x:t>
        </x:is>
      </x:c>
      <x:c r="F33" s="4" t="inlineStr">
        <x:is>
          <x:t xml:space="preserve">Last 14 days: find news where asset managers/hedge funds announce AI or data platform initiatives (research copilots, portfolio construction, trading analytics, reporting automation). Return top 10 with: org, use-case, vendor (if any), date, link.</x:t>
        </x:is>
      </x:c>
    </x:row>
    <x:row r="34" ht="70" customHeight="1">
      <x:c r="A34" s="4" t="inlineStr">
        <x:is>
          <x:t xml:space="preserve">FraudAML-AI-14</x:t>
        </x:is>
      </x:c>
      <x:c r="B34" s="4" t="inlineStr">
        <x:is>
          <x:t xml:space="preserve">AI/Data in Financial Services</x:t>
        </x:is>
      </x:c>
      <x:c r="C34" s="4" t="n">
        <x:v>14</x:v>
      </x:c>
      <x:c r="D34" s="4" t="n">
        <x:v>10</x:v>
      </x:c>
      <x:c r="E34" s="4" t="inlineStr">
        <x:is>
          <x:t xml:space="preserve">org, use-case, vendor, date, link</x:t>
        </x:is>
      </x:c>
      <x:c r="F34" s="4" t="inlineStr">
        <x:is>
          <x:t xml:space="preserve">Last 14 days: find AI/automation deployments specifically for fraud detection, AML monitoring, KYC onboarding, transaction monitoring, or sanctions screening at financial institutions. Return top 10 with: org, use-case, vendor (if any), date, link.</x:t>
        </x:is>
      </x:c>
    </x:row>
    <x:row r="35" ht="70" customHeight="1">
      <x:c r="A35" s="4" t="inlineStr">
        <x:is>
          <x:t xml:space="preserve">RiskModelOps-AI-14</x:t>
        </x:is>
      </x:c>
      <x:c r="B35" s="4" t="inlineStr">
        <x:is>
          <x:t xml:space="preserve">AI/Data in Financial Services</x:t>
        </x:is>
      </x:c>
      <x:c r="C35" s="4" t="n">
        <x:v>14</x:v>
      </x:c>
      <x:c r="D35" s="4" t="n">
        <x:v>10</x:v>
      </x:c>
      <x:c r="E35" s="4" t="inlineStr">
        <x:is>
          <x:t xml:space="preserve">org, use-case, vendor, date, link</x:t>
        </x:is>
      </x:c>
      <x:c r="F35" s="4" t="inlineStr">
        <x:is>
          <x:t xml:space="preserve">Last 14 days: find announcements on AI/data systems for risk management (model risk, stress testing, market/credit risk analytics, scenario generation, model governance, MRM automation). Return top 10 with: org, use-case, vendor (if any), date, link.</x:t>
        </x:is>
      </x:c>
    </x:row>
    <x:row r="36" ht="70" customHeight="1">
      <x:c r="A36" s="4" t="inlineStr">
        <x:is>
          <x:t xml:space="preserve">ClientOpsAutomation-14</x:t>
        </x:is>
      </x:c>
      <x:c r="B36" s="4" t="inlineStr">
        <x:is>
          <x:t xml:space="preserve">AI/Data in Financial Services</x:t>
        </x:is>
      </x:c>
      <x:c r="C36" s="4" t="n">
        <x:v>14</x:v>
      </x:c>
      <x:c r="D36" s="4" t="n">
        <x:v>10</x:v>
      </x:c>
      <x:c r="E36" s="4" t="inlineStr">
        <x:is>
          <x:t xml:space="preserve">org, use-case, vendor, date, link</x:t>
        </x:is>
      </x:c>
      <x:c r="F36" s="4" t="inlineStr">
        <x:is>
          <x:t xml:space="preserve">Last 14 days: find news on AI-driven operations automation in financial services (onboarding, document processing, reconciliations, reporting/finance ops, back office workflow automation, agentic systems). Return top 10 with: org, use-case, vendor (if any), date, link.</x:t>
        </x:is>
      </x:c>
    </x:row>
    <x:row r="37" ht="70" customHeight="1">
      <x:c r="A37" s="4" t="inlineStr">
        <x:is>
          <x:t xml:space="preserve">DataPlatformModernization-FS-30</x:t>
        </x:is>
      </x:c>
      <x:c r="B37" s="4" t="inlineStr">
        <x:is>
          <x:t xml:space="preserve">AI/Data in Financial Services</x:t>
        </x:is>
      </x:c>
      <x:c r="C37" s="4" t="n">
        <x:v>30</x:v>
      </x:c>
      <x:c r="D37" s="4" t="n">
        <x:v>10</x:v>
      </x:c>
      <x:c r="E37" s="4" t="inlineStr">
        <x:is>
          <x:t xml:space="preserve">org, platform/change, vendor, date, link</x:t>
        </x:is>
      </x:c>
      <x:c r="F37" s="4" t="inlineStr">
        <x:is>
          <x:t xml:space="preserve">Last 30 days: find financial institutions announcing data platform modernization (cloud data warehouse/lakehouse, data governance, lineage, MDM, real-time streaming, enterprise data mesh). Return top 10 with: org, platform/change, vendor (if any), date, link.</x:t>
        </x:is>
      </x:c>
    </x:row>
    <x:row r="38" ht="70" customHeight="1">
      <x:c r="A38" s="4" t="inlineStr">
        <x:is>
          <x:t xml:space="preserve">GenAI-Copilots-FinServ-14</x:t>
        </x:is>
      </x:c>
      <x:c r="B38" s="4" t="inlineStr">
        <x:is>
          <x:t xml:space="preserve">AI/Data in Financial Services</x:t>
        </x:is>
      </x:c>
      <x:c r="C38" s="4" t="n">
        <x:v>14</x:v>
      </x:c>
      <x:c r="D38" s="4" t="n">
        <x:v>10</x:v>
      </x:c>
      <x:c r="E38" s="4" t="inlineStr">
        <x:is>
          <x:t xml:space="preserve">org, use-case, vendor/model, date, link</x:t>
        </x:is>
      </x:c>
      <x:c r="F38" s="4" t="inlineStr">
        <x:is>
          <x:t xml:space="preserve">Last 14 days: find deployments of GenAI copilots/assistants in banks, insurers, and asset managers (employee copilots, advisor copilots, research copilots, contact-center copilots). Return top 10 with: org, use-case, vendor/model (if any), date, link.</x:t>
        </x:is>
      </x:c>
    </x:row>
    <x:row r="39" ht="70" customHeight="1">
      <x:c r="A39" s="4" t="inlineStr">
        <x:is>
          <x:t xml:space="preserve">RegTech-AI-14</x:t>
        </x:is>
      </x:c>
      <x:c r="B39" s="4" t="inlineStr">
        <x:is>
          <x:t xml:space="preserve">AI/Data in Financial Services</x:t>
        </x:is>
      </x:c>
      <x:c r="C39" s="4" t="n">
        <x:v>14</x:v>
      </x:c>
      <x:c r="D39" s="4" t="n">
        <x:v>10</x:v>
      </x:c>
      <x:c r="E39" s="4" t="inlineStr">
        <x:is>
          <x:t xml:space="preserve">org, compliance use-case, vendor, date, link</x:t>
        </x:is>
      </x:c>
      <x:c r="F39" s="4" t="inlineStr">
        <x:is>
          <x:t xml:space="preserve">Last 14 days: find AI/data announcements tied to compliance &amp; RegTech (reg reporting, surveillance, trade monitoring, policy compliance, audit automation). Return top 10 with: org, compliance use-case, vendor (if any), date, link.</x:t>
        </x:is>
      </x:c>
    </x:row>
    <x:row r="40" ht="70" customHeight="1">
      <x:c r="A40" s="4" t="inlineStr">
        <x:is>
          <x:t xml:space="preserve">PaymentsAI-14</x:t>
        </x:is>
      </x:c>
      <x:c r="B40" s="4" t="inlineStr">
        <x:is>
          <x:t xml:space="preserve">AI/Data in Financial Services</x:t>
        </x:is>
      </x:c>
      <x:c r="C40" s="4" t="n">
        <x:v>14</x:v>
      </x:c>
      <x:c r="D40" s="4" t="n">
        <x:v>10</x:v>
      </x:c>
      <x:c r="E40" s="4" t="inlineStr">
        <x:is>
          <x:t xml:space="preserve">org, use-case, vendor, date, link</x:t>
        </x:is>
      </x:c>
      <x:c r="F40" s="4" t="inlineStr">
        <x:is>
          <x:t xml:space="preserve">Last 14 days: find AI/automation deployments in payments &amp; transaction banking (payment fraud, disputes/chargebacks, reconciliation, routing optimization, ISO 20022 automation). Return top 10 with: org, use-case, vendor (if any), date, link.</x:t>
        </x:is>
      </x:c>
    </x:row>
    <x:row r="41" ht="70" customHeight="1">
      <x:c r="A41" s="4" t="inlineStr">
        <x:is>
          <x:t xml:space="preserve">VendorWins-Partners-14</x:t>
        </x:is>
      </x:c>
      <x:c r="B41" s="4" t="inlineStr">
        <x:is>
          <x:t xml:space="preserve">AI/Data in Financial Services</x:t>
        </x:is>
      </x:c>
      <x:c r="C41" s="4" t="n">
        <x:v>14</x:v>
      </x:c>
      <x:c r="D41" s="4" t="n">
        <x:v>10</x:v>
      </x:c>
      <x:c r="E41" s="4" t="inlineStr">
        <x:is>
          <x:t xml:space="preserve">org, initiative, vendor/partner, date, link</x:t>
        </x:is>
      </x:c>
      <x:c r="F41" s="4" t="inlineStr">
        <x:is>
          <x:t xml:space="preserve">Last 14 days: find AI/data platform partnership announcements between financial institutions and vendors (core banking, analytics, cloud, AI platforms). Return top 10 with: org, initiative, vendor/partner, date, link.</x:t>
        </x:is>
      </x:c>
    </x:row>
    <x:row r="42" ht="70" customHeight="1">
      <x:c r="A42" s="4" t="inlineStr">
        <x:is>
          <x:t xml:space="preserve">TransformEngagements-30</x:t>
        </x:is>
      </x:c>
      <x:c r="B42" s="4" t="inlineStr">
        <x:is>
          <x:t xml:space="preserve">Corporates / Consulting</x:t>
        </x:is>
      </x:c>
      <x:c r="C42" s="4" t="n">
        <x:v>30</x:v>
      </x:c>
      <x:c r="D42" s="4" t="n">
        <x:v>10</x:v>
      </x:c>
      <x:c r="E42" s="4" t="inlineStr">
        <x:is>
          <x:t xml:space="preserve">company, initiative, outcomes claimed, date, link</x:t>
        </x:is>
      </x:c>
      <x:c r="F42" s="4" t="inlineStr">
        <x:is>
          <x:t xml:space="preserve">Last 30 days: find news on corporate analytics/digital transformation engagements (data modernization, cloud migration, analytics programs) + consulting firm moves. Return top 10 with: company, initiative, outcomes claimed, date, link.</x:t>
        </x:is>
      </x:c>
    </x:row>
    <x:row r="43" ht="70" customHeight="1">
      <x:c r="A43" s="4" t="inlineStr">
        <x:is>
          <x:t xml:space="preserve">CloudMigrationWins-30</x:t>
        </x:is>
      </x:c>
      <x:c r="B43" s="4" t="inlineStr">
        <x:is>
          <x:t xml:space="preserve">Corporates / Consulting</x:t>
        </x:is>
      </x:c>
      <x:c r="C43" s="4" t="n">
        <x:v>30</x:v>
      </x:c>
      <x:c r="D43" s="4" t="n">
        <x:v>10</x:v>
      </x:c>
      <x:c r="E43" s="4" t="inlineStr">
        <x:is>
          <x:t xml:space="preserve">company, initiative, outcomes claimed, date, link</x:t>
        </x:is>
      </x:c>
      <x:c r="F43" s="4" t="inlineStr">
        <x:is>
          <x:t xml:space="preserve">Last 30 days: find major cloud migration / modernization deals (AWS/Azure/GCP) announced by corporates and delivery partners. Return top 10 with: company, initiative (what’s moving + to which cloud), outcomes claimed, date, link.</x:t>
        </x:is>
      </x:c>
    </x:row>
    <x:row r="44" ht="70" customHeight="1">
      <x:c r="A44" s="4" t="inlineStr">
        <x:is>
          <x:t xml:space="preserve">DataPlatformModernization-Corp-30</x:t>
        </x:is>
      </x:c>
      <x:c r="B44" s="4" t="inlineStr">
        <x:is>
          <x:t xml:space="preserve">Corporates / Consulting</x:t>
        </x:is>
      </x:c>
      <x:c r="C44" s="4" t="n">
        <x:v>30</x:v>
      </x:c>
      <x:c r="D44" s="4" t="n">
        <x:v>10</x:v>
      </x:c>
      <x:c r="E44" s="4" t="inlineStr">
        <x:is>
          <x:t xml:space="preserve">company, initiative, outcomes claimed, date, link</x:t>
        </x:is>
      </x:c>
      <x:c r="F44" s="4" t="inlineStr">
        <x:is>
          <x:t xml:space="preserve">Last 30 days: track corporate data platform initiatives (lakehouse, data mesh, MDM, governance, lineage, real-time pipelines). Return top 10 with: company, initiative, outcomes claimed, date, link.</x:t>
        </x:is>
      </x:c>
    </x:row>
    <x:row r="45" ht="70" customHeight="1">
      <x:c r="A45" s="4" t="inlineStr">
        <x:is>
          <x:t xml:space="preserve">AIAnalyticsPrograms-30</x:t>
        </x:is>
      </x:c>
      <x:c r="B45" s="4" t="inlineStr">
        <x:is>
          <x:t xml:space="preserve">Corporates / Consulting</x:t>
        </x:is>
      </x:c>
      <x:c r="C45" s="4" t="n">
        <x:v>30</x:v>
      </x:c>
      <x:c r="D45" s="4" t="n">
        <x:v>10</x:v>
      </x:c>
      <x:c r="E45" s="4" t="inlineStr">
        <x:is>
          <x:t xml:space="preserve">company, initiative, outcomes claimed, date, link</x:t>
        </x:is>
      </x:c>
      <x:c r="F45" s="4" t="inlineStr">
        <x:is>
          <x:t xml:space="preserve">Last 30 days: find corporate launches of analytics/AI programs (enterprise analytics, GenAI programs, CoEs, rollout of self-serve BI, advanced analytics at scale). Return top 10 with: company, initiative, outcomes claimed, date, link.</x:t>
        </x:is>
      </x:c>
    </x:row>
    <x:row r="46" ht="70" customHeight="1">
      <x:c r="A46" s="4" t="inlineStr">
        <x:is>
          <x:t xml:space="preserve">ConsultingFirmMoves-30</x:t>
        </x:is>
      </x:c>
      <x:c r="B46" s="4" t="inlineStr">
        <x:is>
          <x:t xml:space="preserve">Corporates / Consulting</x:t>
        </x:is>
      </x:c>
      <x:c r="C46" s="4" t="n">
        <x:v>30</x:v>
      </x:c>
      <x:c r="D46" s="4" t="n">
        <x:v>10</x:v>
      </x:c>
      <x:c r="E46" s="4" t="inlineStr">
        <x:is>
          <x:t xml:space="preserve">firm, move type, what changed, outcomes claimed/intent, date, link</x:t>
        </x:is>
      </x:c>
      <x:c r="F46" s="4" t="inlineStr">
        <x:is>
          <x:t xml:space="preserve">Last 30 days: find news on consulting firm moves impacting analytics/digital (acquisitions, new practice launches, senior leadership hires, strategic partnerships). Return top 10 with: firm, move type, what changed, outcomes claimed/strategic intent, date, link.</x:t>
        </x:is>
      </x:c>
    </x:row>
    <x:row r="47" ht="70" customHeight="1">
      <x:c r="A47" s="4" t="inlineStr">
        <x:is>
          <x:t xml:space="preserve">Partnerships-Alliances-30</x:t>
        </x:is>
      </x:c>
      <x:c r="B47" s="4" t="inlineStr">
        <x:is>
          <x:t xml:space="preserve">Corporates / Consulting</x:t>
        </x:is>
      </x:c>
      <x:c r="C47" s="4" t="n">
        <x:v>30</x:v>
      </x:c>
      <x:c r="D47" s="4" t="n">
        <x:v>10</x:v>
      </x:c>
      <x:c r="E47" s="4" t="inlineStr">
        <x:is>
          <x:t xml:space="preserve">company, partner(s), initiative, outcomes claimed, date, link</x:t>
        </x:is>
      </x:c>
      <x:c r="F47" s="4" t="inlineStr">
        <x:is>
          <x:t xml:space="preserve">Last 30 days: capture major corporate–consulting–tech partnerships (Accenture/BCG/McKinsey/Deloitte + hyperscalers/SaaS) for data/AI transformation. Return top 10 with: company, partner(s), initiative, outcomes claimed, date, link.</x:t>
        </x:is>
      </x:c>
    </x:row>
    <x:row r="48" ht="70" customHeight="1">
      <x:c r="A48" s="4" t="inlineStr">
        <x:is>
          <x:t xml:space="preserve">IndustryTransformation-30</x:t>
        </x:is>
      </x:c>
      <x:c r="B48" s="4" t="inlineStr">
        <x:is>
          <x:t xml:space="preserve">Corporates / Consulting</x:t>
        </x:is>
      </x:c>
      <x:c r="C48" s="4" t="n">
        <x:v>30</x:v>
      </x:c>
      <x:c r="D48" s="4" t="n">
        <x:v>10</x:v>
      </x:c>
      <x:c r="E48" s="4" t="inlineStr">
        <x:is>
          <x:t xml:space="preserve">company, industry, initiative, outcomes claimed, date, link</x:t>
        </x:is>
      </x:c>
      <x:c r="F48" s="4" t="inlineStr">
        <x:is>
          <x:t xml:space="preserve">Last 30 days: find the biggest transformation engagements by industry (BFSI, Retail, Manufacturing, Healthcare, Telecom). Return top 10 with: company, industry, initiative, outcomes claimed, date, link.</x:t>
        </x:is>
      </x:c>
    </x:row>
    <x:row r="49" ht="70" customHeight="1">
      <x:c r="A49" s="4" t="inlineStr">
        <x:is>
          <x:t xml:space="preserve">ERPtoDataStack-30</x:t>
        </x:is>
      </x:c>
      <x:c r="B49" s="4" t="inlineStr">
        <x:is>
          <x:t xml:space="preserve">Corporates / Consulting</x:t>
        </x:is>
      </x:c>
      <x:c r="C49" s="4" t="n">
        <x:v>30</x:v>
      </x:c>
      <x:c r="D49" s="4" t="n">
        <x:v>10</x:v>
      </x:c>
      <x:c r="E49" s="4" t="inlineStr">
        <x:is>
          <x:t xml:space="preserve">company, initiative, outcomes claimed, date, link</x:t>
        </x:is>
      </x:c>
      <x:c r="F49" s="4" t="inlineStr">
        <x:is>
          <x:t xml:space="preserve">Last 30 days: find transformation news tied to ERP modernization + analytics (SAP S/4HANA, Oracle ERP, CRM modernization) where analytics/data platform is part of the program. Return top 10 with: company, initiative, outcomes claimed, date, link.</x:t>
        </x:is>
      </x:c>
    </x:row>
    <x:row r="50" ht="70" customHeight="1">
      <x:c r="A50" s="4" t="inlineStr">
        <x:is>
          <x:t xml:space="preserve">DeliveryModelShift-30</x:t>
        </x:is>
      </x:c>
      <x:c r="B50" s="4" t="inlineStr">
        <x:is>
          <x:t xml:space="preserve">Corporates / Consulting</x:t>
        </x:is>
      </x:c>
      <x:c r="C50" s="4" t="n">
        <x:v>30</x:v>
      </x:c>
      <x:c r="D50" s="4" t="n">
        <x:v>10</x:v>
      </x:c>
      <x:c r="E50" s="4" t="inlineStr">
        <x:is>
          <x:t xml:space="preserve">firm/company, initiative, outcomes claimed, date, link</x:t>
        </x:is>
      </x:c>
      <x:c r="F50" s="4" t="inlineStr">
        <x:is>
          <x:t xml:space="preserve">Last 30 days: track news where consulting/IT services firms announce changes in delivery model (AI-led delivery, automation programs, new managed services, outcome-based pricing) linked to digital transformation. Return top 10 with: firm/company, initiative, outcomes claimed, date, link.</x:t>
        </x:is>
      </x:c>
    </x:row>
    <x:row r="51" ht="70" customHeight="1">
      <x:c r="A51" s="4" t="inlineStr">
        <x:is>
          <x:t xml:space="preserve">TransformationCaseStudies-30</x:t>
        </x:is>
      </x:c>
      <x:c r="B51" s="4" t="inlineStr">
        <x:is>
          <x:t xml:space="preserve">Corporates / Consulting</x:t>
        </x:is>
      </x:c>
      <x:c r="C51" s="4" t="n">
        <x:v>30</x:v>
      </x:c>
      <x:c r="D51" s="4" t="n">
        <x:v>10</x:v>
      </x:c>
      <x:c r="E51" s="4" t="inlineStr">
        <x:is>
          <x:t xml:space="preserve">company, initiative, outcomes claimed (metrics if any), date, link</x:t>
        </x:is>
      </x:c>
      <x:c r="F51" s="4" t="inlineStr">
        <x:is>
          <x:t xml:space="preserve">Last 30 days: find credible transformation stories (press releases, earnings call notes, official blogs) where corporates claim measurable outcomes (cost reduction, faster reporting, migration completion, time-to-insight). Return top 10 with: company, initiative, outcomes claimed (metrics if any), date, link.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customWidth="1"/>
    <x:col min="2" max="2" width="12" customWidth="1"/>
    <x:col min="3" max="3" width="24" customWidth="1"/>
    <x:col min="4" max="4" width="26" customWidth="1"/>
    <x:col min="5" max="5" width="18" customWidth="1"/>
    <x:col min="6" max="6" width="12" customWidth="1"/>
    <x:col min="7" max="7" width="8" customWidth="1"/>
    <x:col min="8" max="8" width="60" customWidth="1"/>
    <x:col min="9" max="9" width="12" customWidth="1"/>
    <x:col min="10" max="10" width="20" customWidth="1"/>
    <x:col min="11" max="11" width="20" customWidth="1"/>
    <x:col min="12" max="12" width="14" customWidth="1"/>
    <x:col min="13" max="13" width="18" customWidth="1"/>
    <x:col min="14" max="14" width="18" customWidth="1"/>
    <x:col min="15" max="15" width="14" customWidth="1"/>
    <x:col min="16" max="16" width="14" customWidth="1"/>
    <x:col min="17" max="17" width="24" customWidth="1"/>
    <x:col min="18" max="18" width="24" customWidth="1"/>
    <x:col min="19" max="19" width="40" customWidth="1"/>
    <x:col min="20" max="20" width="38" customWidth="1"/>
    <x:col min="21" max="21" width="20" customWidth="1"/>
  </x:cols>
  <x:sheetData>
    <x:row r="1">
      <x:c r="A1" s="3" t="inlineStr">
        <x:is>
          <x:t xml:space="preserve">Run ID</x:t>
        </x:is>
      </x:c>
      <x:c r="B1" s="3" t="inlineStr">
        <x:is>
          <x:t xml:space="preserve">Run Date</x:t>
        </x:is>
      </x:c>
      <x:c r="C1" s="3" t="inlineStr">
        <x:is>
          <x:t xml:space="preserve">Prompt Name</x:t>
        </x:is>
      </x:c>
      <x:c r="D1" s="3" t="inlineStr">
        <x:is>
          <x:t xml:space="preserve">Sector (auto)</x:t>
        </x:is>
      </x:c>
      <x:c r="E1" s="3" t="inlineStr">
        <x:is>
          <x:t xml:space="preserve">Window (days) (auto)</x:t>
        </x:is>
      </x:c>
      <x:c r="F1" s="3" t="inlineStr">
        <x:is>
          <x:t xml:space="preserve">Output N (auto)</x:t>
        </x:is>
      </x:c>
      <x:c r="G1" s="3" t="inlineStr">
        <x:is>
          <x:t xml:space="preserve">Item #</x:t>
        </x:is>
      </x:c>
      <x:c r="H1" s="3" t="inlineStr">
        <x:is>
          <x:t xml:space="preserve">Headline</x:t>
        </x:is>
      </x:c>
      <x:c r="I1" s="3" t="inlineStr">
        <x:is>
          <x:t xml:space="preserve">Item Date</x:t>
        </x:is>
      </x:c>
      <x:c r="J1" s="3" t="inlineStr">
        <x:is>
          <x:t xml:space="preserve">Org/Firm</x:t>
        </x:is>
      </x:c>
      <x:c r="K1" s="3" t="inlineStr">
        <x:is>
          <x:t xml:space="preserve">Regulator/Agency</x:t>
        </x:is>
      </x:c>
      <x:c r="L1" s="3" t="inlineStr">
        <x:is>
          <x:t xml:space="preserve">Category</x:t>
        </x:is>
      </x:c>
      <x:c r="M1" s="3" t="inlineStr">
        <x:is>
          <x:t xml:space="preserve">Use-case</x:t>
        </x:is>
      </x:c>
      <x:c r="N1" s="3" t="inlineStr">
        <x:is>
          <x:t xml:space="preserve">Vendor/Partner</x:t>
        </x:is>
      </x:c>
      <x:c r="O1" s="3" t="inlineStr">
        <x:is>
          <x:t xml:space="preserve">Deal Type</x:t>
        </x:is>
      </x:c>
      <x:c r="P1" s="3" t="inlineStr">
        <x:is>
          <x:t xml:space="preserve">Value</x:t>
        </x:is>
      </x:c>
      <x:c r="Q1" s="3" t="inlineStr">
        <x:is>
          <x:t xml:space="preserve">Initiative</x:t>
        </x:is>
      </x:c>
      <x:c r="R1" s="3" t="inlineStr">
        <x:is>
          <x:t xml:space="preserve">Outcomes Claimed</x:t>
        </x:is>
      </x:c>
      <x:c r="S1" s="3" t="inlineStr">
        <x:is>
          <x:t xml:space="preserve">Summary (2 lines)</x:t>
        </x:is>
      </x:c>
      <x:c r="T1" s="3" t="inlineStr">
        <x:is>
          <x:t xml:space="preserve">Source Link</x:t>
        </x:is>
      </x:c>
      <x:c r="U1" s="3" t="inlineStr">
        <x:is>
          <x:t xml:space="preserve">Notes</x:t>
        </x:is>
      </x:c>
    </x:row>
    <x:row r="2" ht="60" customHeight="1">
      <x:c r="A2" s="4" t="n"/>
      <x:c r="B2" s="5" t="n"/>
      <x:c r="C2" s="4" t="n"/>
      <x:c r="D2" s="4" t="str">
        <x:f>IFERROR(VLOOKUP(C2,'Prompt Library'!$A$2:$F$51,2,FALSE),"")</x:f>
        <x:v>null</x:v>
      </x:c>
      <x:c r="E2" s="4" t="str">
        <x:f>IFERROR(VLOOKUP(C2,'Prompt Library'!$A$2:$F$51,3,FALSE),"")</x:f>
        <x:v>null</x:v>
      </x:c>
      <x:c r="F2" s="4" t="str">
        <x:f>IFERROR(VLOOKUP(C2,'Prompt Library'!$A$2:$F$51,4,FALSE),"")</x:f>
        <x:v>null</x:v>
      </x:c>
      <x:c r="G2" s="4">
        <x:f>IF(C2="","",ROW()-1)</x:f>
      </x:c>
      <x:c r="H2" s="4" t="n"/>
      <x:c r="I2" s="5" t="n"/>
      <x:c r="J2" s="4" t="n"/>
      <x:c r="K2" s="4" t="n"/>
      <x:c r="L2" s="4" t="n"/>
      <x:c r="M2" s="4" t="n"/>
      <x:c r="N2" s="4" t="n"/>
      <x:c r="O2" s="4" t="n"/>
      <x:c r="P2" s="4" t="n"/>
      <x:c r="Q2" s="4" t="n"/>
      <x:c r="R2" s="4" t="n"/>
      <x:c r="S2" s="4" t="n"/>
      <x:c r="T2" s="4" t="n"/>
      <x:c r="U2" s="4" t="n"/>
    </x:row>
    <x:row r="3" ht="60" customHeight="1">
      <x:c r="A3" s="4" t="n"/>
      <x:c r="B3" s="5" t="n"/>
      <x:c r="C3" s="4" t="n"/>
      <x:c r="D3" s="4" t="str">
        <x:f>IFERROR(VLOOKUP(C3,'Prompt Library'!$A$2:$F$51,2,FALSE),"")</x:f>
        <x:v>null</x:v>
      </x:c>
      <x:c r="E3" s="4" t="str">
        <x:f>IFERROR(VLOOKUP(C3,'Prompt Library'!$A$2:$F$51,3,FALSE),"")</x:f>
        <x:v>null</x:v>
      </x:c>
      <x:c r="F3" s="4" t="str">
        <x:f>IFERROR(VLOOKUP(C3,'Prompt Library'!$A$2:$F$51,4,FALSE),"")</x:f>
        <x:v>null</x:v>
      </x:c>
      <x:c r="G3" s="4">
        <x:f>IF(C3="","",ROW()-1)</x:f>
      </x:c>
      <x:c r="H3" s="4" t="n"/>
      <x:c r="I3" s="5" t="n"/>
      <x:c r="J3" s="4" t="n"/>
      <x:c r="K3" s="4" t="n"/>
      <x:c r="L3" s="4" t="n"/>
      <x:c r="M3" s="4" t="n"/>
      <x:c r="N3" s="4" t="n"/>
      <x:c r="O3" s="4" t="n"/>
      <x:c r="P3" s="4" t="n"/>
      <x:c r="Q3" s="4" t="n"/>
      <x:c r="R3" s="4" t="n"/>
      <x:c r="S3" s="4" t="n"/>
      <x:c r="T3" s="4" t="n"/>
      <x:c r="U3" s="4" t="n"/>
    </x:row>
    <x:row r="4" ht="60" customHeight="1">
      <x:c r="A4" s="4" t="n"/>
      <x:c r="B4" s="5" t="n"/>
      <x:c r="C4" s="4" t="n"/>
      <x:c r="D4" s="4" t="str">
        <x:f>IFERROR(VLOOKUP(C4,'Prompt Library'!$A$2:$F$51,2,FALSE),"")</x:f>
        <x:v>null</x:v>
      </x:c>
      <x:c r="E4" s="4" t="str">
        <x:f>IFERROR(VLOOKUP(C4,'Prompt Library'!$A$2:$F$51,3,FALSE),"")</x:f>
        <x:v>null</x:v>
      </x:c>
      <x:c r="F4" s="4" t="str">
        <x:f>IFERROR(VLOOKUP(C4,'Prompt Library'!$A$2:$F$51,4,FALSE),"")</x:f>
        <x:v>null</x:v>
      </x:c>
      <x:c r="G4" s="4">
        <x:f>IF(C4="","",ROW()-1)</x:f>
      </x:c>
      <x:c r="H4" s="4" t="n"/>
      <x:c r="I4" s="5" t="n"/>
      <x:c r="J4" s="4" t="n"/>
      <x:c r="K4" s="4" t="n"/>
      <x:c r="L4" s="4" t="n"/>
      <x:c r="M4" s="4" t="n"/>
      <x:c r="N4" s="4" t="n"/>
      <x:c r="O4" s="4" t="n"/>
      <x:c r="P4" s="4" t="n"/>
      <x:c r="Q4" s="4" t="n"/>
      <x:c r="R4" s="4" t="n"/>
      <x:c r="S4" s="4" t="n"/>
      <x:c r="T4" s="4" t="n"/>
      <x:c r="U4" s="4" t="n"/>
    </x:row>
    <x:row r="5" ht="60" customHeight="1">
      <x:c r="A5" s="4" t="n"/>
      <x:c r="B5" s="5" t="n"/>
      <x:c r="C5" s="4" t="n"/>
      <x:c r="D5" s="4" t="str">
        <x:f>IFERROR(VLOOKUP(C5,'Prompt Library'!$A$2:$F$51,2,FALSE),"")</x:f>
        <x:v>null</x:v>
      </x:c>
      <x:c r="E5" s="4" t="str">
        <x:f>IFERROR(VLOOKUP(C5,'Prompt Library'!$A$2:$F$51,3,FALSE),"")</x:f>
        <x:v>null</x:v>
      </x:c>
      <x:c r="F5" s="4" t="str">
        <x:f>IFERROR(VLOOKUP(C5,'Prompt Library'!$A$2:$F$51,4,FALSE),"")</x:f>
        <x:v>null</x:v>
      </x:c>
      <x:c r="G5" s="4">
        <x:f>IF(C5="","",ROW()-1)</x:f>
      </x:c>
      <x:c r="H5" s="4" t="n"/>
      <x:c r="I5" s="5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</x:row>
    <x:row r="6" ht="60" customHeight="1">
      <x:c r="A6" s="4" t="n"/>
      <x:c r="B6" s="5" t="n"/>
      <x:c r="C6" s="4" t="n"/>
      <x:c r="D6" s="4" t="str">
        <x:f>IFERROR(VLOOKUP(C6,'Prompt Library'!$A$2:$F$51,2,FALSE),"")</x:f>
        <x:v>null</x:v>
      </x:c>
      <x:c r="E6" s="4" t="str">
        <x:f>IFERROR(VLOOKUP(C6,'Prompt Library'!$A$2:$F$51,3,FALSE),"")</x:f>
        <x:v>null</x:v>
      </x:c>
      <x:c r="F6" s="4" t="str">
        <x:f>IFERROR(VLOOKUP(C6,'Prompt Library'!$A$2:$F$51,4,FALSE),"")</x:f>
        <x:v>null</x:v>
      </x:c>
      <x:c r="G6" s="4">
        <x:f>IF(C6="","",ROW()-1)</x:f>
      </x:c>
      <x:c r="H6" s="4" t="n"/>
      <x:c r="I6" s="5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</x:row>
    <x:row r="7" ht="60" customHeight="1">
      <x:c r="A7" s="4" t="n"/>
      <x:c r="B7" s="5" t="n"/>
      <x:c r="C7" s="4" t="n"/>
      <x:c r="D7" s="4" t="str">
        <x:f>IFERROR(VLOOKUP(C7,'Prompt Library'!$A$2:$F$51,2,FALSE),"")</x:f>
        <x:v>null</x:v>
      </x:c>
      <x:c r="E7" s="4" t="str">
        <x:f>IFERROR(VLOOKUP(C7,'Prompt Library'!$A$2:$F$51,3,FALSE),"")</x:f>
        <x:v>null</x:v>
      </x:c>
      <x:c r="F7" s="4" t="str">
        <x:f>IFERROR(VLOOKUP(C7,'Prompt Library'!$A$2:$F$51,4,FALSE),"")</x:f>
        <x:v>null</x:v>
      </x:c>
      <x:c r="G7" s="4">
        <x:f>IF(C7="","",ROW()-1)</x:f>
      </x:c>
      <x:c r="H7" s="4" t="n"/>
      <x:c r="I7" s="5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</x:row>
    <x:row r="8" ht="60" customHeight="1">
      <x:c r="A8" s="4" t="n"/>
      <x:c r="B8" s="5" t="n"/>
      <x:c r="C8" s="4" t="n"/>
      <x:c r="D8" s="4" t="str">
        <x:f>IFERROR(VLOOKUP(C8,'Prompt Library'!$A$2:$F$51,2,FALSE),"")</x:f>
        <x:v>null</x:v>
      </x:c>
      <x:c r="E8" s="4" t="str">
        <x:f>IFERROR(VLOOKUP(C8,'Prompt Library'!$A$2:$F$51,3,FALSE),"")</x:f>
        <x:v>null</x:v>
      </x:c>
      <x:c r="F8" s="4" t="str">
        <x:f>IFERROR(VLOOKUP(C8,'Prompt Library'!$A$2:$F$51,4,FALSE),"")</x:f>
        <x:v>null</x:v>
      </x:c>
      <x:c r="G8" s="4">
        <x:f>IF(C8="","",ROW()-1)</x:f>
      </x:c>
      <x:c r="H8" s="4" t="n"/>
      <x:c r="I8" s="5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</x:row>
    <x:row r="9" ht="60" customHeight="1">
      <x:c r="A9" s="4" t="n"/>
      <x:c r="B9" s="5" t="n"/>
      <x:c r="C9" s="4" t="n"/>
      <x:c r="D9" s="4" t="str">
        <x:f>IFERROR(VLOOKUP(C9,'Prompt Library'!$A$2:$F$51,2,FALSE),"")</x:f>
        <x:v>null</x:v>
      </x:c>
      <x:c r="E9" s="4" t="str">
        <x:f>IFERROR(VLOOKUP(C9,'Prompt Library'!$A$2:$F$51,3,FALSE),"")</x:f>
        <x:v>null</x:v>
      </x:c>
      <x:c r="F9" s="4" t="str">
        <x:f>IFERROR(VLOOKUP(C9,'Prompt Library'!$A$2:$F$51,4,FALSE),"")</x:f>
        <x:v>null</x:v>
      </x:c>
      <x:c r="G9" s="4">
        <x:f>IF(C9="","",ROW()-1)</x:f>
      </x:c>
      <x:c r="H9" s="4" t="n"/>
      <x:c r="I9" s="5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</x:row>
    <x:row r="10" ht="60" customHeight="1">
      <x:c r="A10" s="4" t="n"/>
      <x:c r="B10" s="5" t="n"/>
      <x:c r="C10" s="4" t="n"/>
      <x:c r="D10" s="4" t="str">
        <x:f>IFERROR(VLOOKUP(C10,'Prompt Library'!$A$2:$F$51,2,FALSE),"")</x:f>
        <x:v>null</x:v>
      </x:c>
      <x:c r="E10" s="4" t="str">
        <x:f>IFERROR(VLOOKUP(C10,'Prompt Library'!$A$2:$F$51,3,FALSE),"")</x:f>
        <x:v>null</x:v>
      </x:c>
      <x:c r="F10" s="4" t="str">
        <x:f>IFERROR(VLOOKUP(C10,'Prompt Library'!$A$2:$F$51,4,FALSE),"")</x:f>
        <x:v>null</x:v>
      </x:c>
      <x:c r="G10" s="4">
        <x:f>IF(C10="","",ROW()-1)</x:f>
      </x:c>
      <x:c r="H10" s="4" t="n"/>
      <x:c r="I10" s="5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</x:row>
    <x:row r="11" ht="60" customHeight="1">
      <x:c r="A11" s="4" t="n"/>
      <x:c r="B11" s="5" t="n"/>
      <x:c r="C11" s="4" t="n"/>
      <x:c r="D11" s="4" t="str">
        <x:f>IFERROR(VLOOKUP(C11,'Prompt Library'!$A$2:$F$51,2,FALSE),"")</x:f>
        <x:v>null</x:v>
      </x:c>
      <x:c r="E11" s="4" t="str">
        <x:f>IFERROR(VLOOKUP(C11,'Prompt Library'!$A$2:$F$51,3,FALSE),"")</x:f>
        <x:v>null</x:v>
      </x:c>
      <x:c r="F11" s="4" t="str">
        <x:f>IFERROR(VLOOKUP(C11,'Prompt Library'!$A$2:$F$51,4,FALSE),"")</x:f>
        <x:v>null</x:v>
      </x:c>
      <x:c r="G11" s="4">
        <x:f>IF(C11="","",ROW()-1)</x:f>
      </x:c>
      <x:c r="H11" s="4" t="n"/>
      <x:c r="I11" s="5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</x:row>
    <x:row r="12" ht="60" customHeight="1">
      <x:c r="A12" s="4" t="n"/>
      <x:c r="B12" s="5" t="n"/>
      <x:c r="C12" s="4" t="n"/>
      <x:c r="D12" s="4" t="str">
        <x:f>IFERROR(VLOOKUP(C12,'Prompt Library'!$A$2:$F$51,2,FALSE),"")</x:f>
        <x:v>null</x:v>
      </x:c>
      <x:c r="E12" s="4" t="str">
        <x:f>IFERROR(VLOOKUP(C12,'Prompt Library'!$A$2:$F$51,3,FALSE),"")</x:f>
        <x:v>null</x:v>
      </x:c>
      <x:c r="F12" s="4" t="str">
        <x:f>IFERROR(VLOOKUP(C12,'Prompt Library'!$A$2:$F$51,4,FALSE),"")</x:f>
        <x:v>null</x:v>
      </x:c>
      <x:c r="G12" s="4">
        <x:f>IF(C12="","",ROW()-1)</x:f>
      </x:c>
      <x:c r="H12" s="4" t="n"/>
      <x:c r="I12" s="5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</x:row>
    <x:row r="13" ht="60" customHeight="1">
      <x:c r="A13" s="4" t="n"/>
      <x:c r="B13" s="5" t="n"/>
      <x:c r="C13" s="4" t="n"/>
      <x:c r="D13" s="4" t="str">
        <x:f>IFERROR(VLOOKUP(C13,'Prompt Library'!$A$2:$F$51,2,FALSE),"")</x:f>
        <x:v>null</x:v>
      </x:c>
      <x:c r="E13" s="4" t="str">
        <x:f>IFERROR(VLOOKUP(C13,'Prompt Library'!$A$2:$F$51,3,FALSE),"")</x:f>
        <x:v>null</x:v>
      </x:c>
      <x:c r="F13" s="4" t="str">
        <x:f>IFERROR(VLOOKUP(C13,'Prompt Library'!$A$2:$F$51,4,FALSE),"")</x:f>
        <x:v>null</x:v>
      </x:c>
      <x:c r="G13" s="4">
        <x:f>IF(C13="","",ROW()-1)</x:f>
      </x:c>
      <x:c r="H13" s="4" t="n"/>
      <x:c r="I13" s="5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</x:row>
    <x:row r="14" ht="60" customHeight="1">
      <x:c r="A14" s="4" t="n"/>
      <x:c r="B14" s="5" t="n"/>
      <x:c r="C14" s="4" t="n"/>
      <x:c r="D14" s="4" t="str">
        <x:f>IFERROR(VLOOKUP(C14,'Prompt Library'!$A$2:$F$51,2,FALSE),"")</x:f>
        <x:v>null</x:v>
      </x:c>
      <x:c r="E14" s="4" t="str">
        <x:f>IFERROR(VLOOKUP(C14,'Prompt Library'!$A$2:$F$51,3,FALSE),"")</x:f>
        <x:v>null</x:v>
      </x:c>
      <x:c r="F14" s="4" t="str">
        <x:f>IFERROR(VLOOKUP(C14,'Prompt Library'!$A$2:$F$51,4,FALSE),"")</x:f>
        <x:v>null</x:v>
      </x:c>
      <x:c r="G14" s="4">
        <x:f>IF(C14="","",ROW()-1)</x:f>
      </x:c>
      <x:c r="H14" s="4" t="n"/>
      <x:c r="I14" s="5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</x:row>
    <x:row r="15" ht="60" customHeight="1">
      <x:c r="A15" s="4" t="n"/>
      <x:c r="B15" s="5" t="n"/>
      <x:c r="C15" s="4" t="n"/>
      <x:c r="D15" s="4" t="str">
        <x:f>IFERROR(VLOOKUP(C15,'Prompt Library'!$A$2:$F$51,2,FALSE),"")</x:f>
        <x:v>null</x:v>
      </x:c>
      <x:c r="E15" s="4" t="str">
        <x:f>IFERROR(VLOOKUP(C15,'Prompt Library'!$A$2:$F$51,3,FALSE),"")</x:f>
        <x:v>null</x:v>
      </x:c>
      <x:c r="F15" s="4" t="str">
        <x:f>IFERROR(VLOOKUP(C15,'Prompt Library'!$A$2:$F$51,4,FALSE),"")</x:f>
        <x:v>null</x:v>
      </x:c>
      <x:c r="G15" s="4">
        <x:f>IF(C15="","",ROW()-1)</x:f>
      </x:c>
      <x:c r="H15" s="4" t="n"/>
      <x:c r="I15" s="5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</x:row>
    <x:row r="16" ht="60" customHeight="1">
      <x:c r="A16" s="4" t="n"/>
      <x:c r="B16" s="5" t="n"/>
      <x:c r="C16" s="4" t="n"/>
      <x:c r="D16" s="4" t="str">
        <x:f>IFERROR(VLOOKUP(C16,'Prompt Library'!$A$2:$F$51,2,FALSE),"")</x:f>
        <x:v>null</x:v>
      </x:c>
      <x:c r="E16" s="4" t="str">
        <x:f>IFERROR(VLOOKUP(C16,'Prompt Library'!$A$2:$F$51,3,FALSE),"")</x:f>
        <x:v>null</x:v>
      </x:c>
      <x:c r="F16" s="4" t="str">
        <x:f>IFERROR(VLOOKUP(C16,'Prompt Library'!$A$2:$F$51,4,FALSE),"")</x:f>
        <x:v>null</x:v>
      </x:c>
      <x:c r="G16" s="4">
        <x:f>IF(C16="","",ROW()-1)</x:f>
      </x:c>
      <x:c r="H16" s="4" t="n"/>
      <x:c r="I16" s="5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</x:row>
    <x:row r="17" ht="60" customHeight="1">
      <x:c r="A17" s="4" t="n"/>
      <x:c r="B17" s="5" t="n"/>
      <x:c r="C17" s="4" t="n"/>
      <x:c r="D17" s="4" t="str">
        <x:f>IFERROR(VLOOKUP(C17,'Prompt Library'!$A$2:$F$51,2,FALSE),"")</x:f>
        <x:v>null</x:v>
      </x:c>
      <x:c r="E17" s="4" t="str">
        <x:f>IFERROR(VLOOKUP(C17,'Prompt Library'!$A$2:$F$51,3,FALSE),"")</x:f>
        <x:v>null</x:v>
      </x:c>
      <x:c r="F17" s="4" t="str">
        <x:f>IFERROR(VLOOKUP(C17,'Prompt Library'!$A$2:$F$51,4,FALSE),"")</x:f>
        <x:v>null</x:v>
      </x:c>
      <x:c r="G17" s="4">
        <x:f>IF(C17="","",ROW()-1)</x:f>
      </x:c>
      <x:c r="H17" s="4" t="n"/>
      <x:c r="I17" s="5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</x:row>
    <x:row r="18" ht="60" customHeight="1">
      <x:c r="A18" s="4" t="n"/>
      <x:c r="B18" s="5" t="n"/>
      <x:c r="C18" s="4" t="n"/>
      <x:c r="D18" s="4" t="str">
        <x:f>IFERROR(VLOOKUP(C18,'Prompt Library'!$A$2:$F$51,2,FALSE),"")</x:f>
        <x:v>null</x:v>
      </x:c>
      <x:c r="E18" s="4" t="str">
        <x:f>IFERROR(VLOOKUP(C18,'Prompt Library'!$A$2:$F$51,3,FALSE),"")</x:f>
        <x:v>null</x:v>
      </x:c>
      <x:c r="F18" s="4" t="str">
        <x:f>IFERROR(VLOOKUP(C18,'Prompt Library'!$A$2:$F$51,4,FALSE),"")</x:f>
        <x:v>null</x:v>
      </x:c>
      <x:c r="G18" s="4">
        <x:f>IF(C18="","",ROW()-1)</x:f>
      </x:c>
      <x:c r="H18" s="4" t="n"/>
      <x:c r="I18" s="5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</x:row>
    <x:row r="19" ht="60" customHeight="1">
      <x:c r="A19" s="4" t="n"/>
      <x:c r="B19" s="5" t="n"/>
      <x:c r="C19" s="4" t="n"/>
      <x:c r="D19" s="4" t="str">
        <x:f>IFERROR(VLOOKUP(C19,'Prompt Library'!$A$2:$F$51,2,FALSE),"")</x:f>
        <x:v>null</x:v>
      </x:c>
      <x:c r="E19" s="4" t="str">
        <x:f>IFERROR(VLOOKUP(C19,'Prompt Library'!$A$2:$F$51,3,FALSE),"")</x:f>
        <x:v>null</x:v>
      </x:c>
      <x:c r="F19" s="4" t="str">
        <x:f>IFERROR(VLOOKUP(C19,'Prompt Library'!$A$2:$F$51,4,FALSE),"")</x:f>
        <x:v>null</x:v>
      </x:c>
      <x:c r="G19" s="4">
        <x:f>IF(C19="","",ROW()-1)</x:f>
      </x:c>
      <x:c r="H19" s="4" t="n"/>
      <x:c r="I19" s="5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</x:row>
    <x:row r="20" ht="60" customHeight="1">
      <x:c r="A20" s="4" t="n"/>
      <x:c r="B20" s="5" t="n"/>
      <x:c r="C20" s="4" t="n"/>
      <x:c r="D20" s="4" t="str">
        <x:f>IFERROR(VLOOKUP(C20,'Prompt Library'!$A$2:$F$51,2,FALSE),"")</x:f>
        <x:v>null</x:v>
      </x:c>
      <x:c r="E20" s="4" t="str">
        <x:f>IFERROR(VLOOKUP(C20,'Prompt Library'!$A$2:$F$51,3,FALSE),"")</x:f>
        <x:v>null</x:v>
      </x:c>
      <x:c r="F20" s="4" t="str">
        <x:f>IFERROR(VLOOKUP(C20,'Prompt Library'!$A$2:$F$51,4,FALSE),"")</x:f>
        <x:v>null</x:v>
      </x:c>
      <x:c r="G20" s="4">
        <x:f>IF(C20="","",ROW()-1)</x:f>
      </x:c>
      <x:c r="H20" s="4" t="n"/>
      <x:c r="I20" s="5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</x:row>
    <x:row r="21" ht="60" customHeight="1">
      <x:c r="A21" s="4" t="n"/>
      <x:c r="B21" s="5" t="n"/>
      <x:c r="C21" s="4" t="n"/>
      <x:c r="D21" s="4" t="str">
        <x:f>IFERROR(VLOOKUP(C21,'Prompt Library'!$A$2:$F$51,2,FALSE),"")</x:f>
        <x:v>null</x:v>
      </x:c>
      <x:c r="E21" s="4" t="str">
        <x:f>IFERROR(VLOOKUP(C21,'Prompt Library'!$A$2:$F$51,3,FALSE),"")</x:f>
        <x:v>null</x:v>
      </x:c>
      <x:c r="F21" s="4" t="str">
        <x:f>IFERROR(VLOOKUP(C21,'Prompt Library'!$A$2:$F$51,4,FALSE),"")</x:f>
        <x:v>null</x:v>
      </x:c>
      <x:c r="G21" s="4">
        <x:f>IF(C21="","",ROW()-1)</x:f>
      </x:c>
      <x:c r="H21" s="4" t="n"/>
      <x:c r="I21" s="5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</x:row>
    <x:row r="22" ht="60" customHeight="1">
      <x:c r="A22" s="4" t="n"/>
      <x:c r="B22" s="5" t="n"/>
      <x:c r="C22" s="4" t="n"/>
      <x:c r="D22" s="4" t="str">
        <x:f>IFERROR(VLOOKUP(C22,'Prompt Library'!$A$2:$F$51,2,FALSE),"")</x:f>
        <x:v>null</x:v>
      </x:c>
      <x:c r="E22" s="4" t="str">
        <x:f>IFERROR(VLOOKUP(C22,'Prompt Library'!$A$2:$F$51,3,FALSE),"")</x:f>
        <x:v>null</x:v>
      </x:c>
      <x:c r="F22" s="4" t="str">
        <x:f>IFERROR(VLOOKUP(C22,'Prompt Library'!$A$2:$F$51,4,FALSE),"")</x:f>
        <x:v>null</x:v>
      </x:c>
      <x:c r="G22" s="4">
        <x:f>IF(C22="","",ROW()-1)</x:f>
      </x:c>
      <x:c r="H22" s="4" t="n"/>
      <x:c r="I22" s="5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</x:row>
    <x:row r="23" ht="60" customHeight="1">
      <x:c r="A23" s="4" t="n"/>
      <x:c r="B23" s="5" t="n"/>
      <x:c r="C23" s="4" t="n"/>
      <x:c r="D23" s="4" t="str">
        <x:f>IFERROR(VLOOKUP(C23,'Prompt Library'!$A$2:$F$51,2,FALSE),"")</x:f>
        <x:v>null</x:v>
      </x:c>
      <x:c r="E23" s="4" t="str">
        <x:f>IFERROR(VLOOKUP(C23,'Prompt Library'!$A$2:$F$51,3,FALSE),"")</x:f>
        <x:v>null</x:v>
      </x:c>
      <x:c r="F23" s="4" t="str">
        <x:f>IFERROR(VLOOKUP(C23,'Prompt Library'!$A$2:$F$51,4,FALSE),"")</x:f>
        <x:v>null</x:v>
      </x:c>
      <x:c r="G23" s="4">
        <x:f>IF(C23="","",ROW()-1)</x:f>
      </x:c>
      <x:c r="H23" s="4" t="n"/>
      <x:c r="I23" s="5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</x:row>
    <x:row r="24" ht="60" customHeight="1">
      <x:c r="A24" s="4" t="n"/>
      <x:c r="B24" s="5" t="n"/>
      <x:c r="C24" s="4" t="n"/>
      <x:c r="D24" s="4" t="str">
        <x:f>IFERROR(VLOOKUP(C24,'Prompt Library'!$A$2:$F$51,2,FALSE),"")</x:f>
        <x:v>null</x:v>
      </x:c>
      <x:c r="E24" s="4" t="str">
        <x:f>IFERROR(VLOOKUP(C24,'Prompt Library'!$A$2:$F$51,3,FALSE),"")</x:f>
        <x:v>null</x:v>
      </x:c>
      <x:c r="F24" s="4" t="str">
        <x:f>IFERROR(VLOOKUP(C24,'Prompt Library'!$A$2:$F$51,4,FALSE),"")</x:f>
        <x:v>null</x:v>
      </x:c>
      <x:c r="G24" s="4">
        <x:f>IF(C24="","",ROW()-1)</x:f>
      </x:c>
      <x:c r="H24" s="4" t="n"/>
      <x:c r="I24" s="5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</x:row>
    <x:row r="25" ht="60" customHeight="1">
      <x:c r="A25" s="4" t="n"/>
      <x:c r="B25" s="5" t="n"/>
      <x:c r="C25" s="4" t="n"/>
      <x:c r="D25" s="4" t="str">
        <x:f>IFERROR(VLOOKUP(C25,'Prompt Library'!$A$2:$F$51,2,FALSE),"")</x:f>
        <x:v>null</x:v>
      </x:c>
      <x:c r="E25" s="4" t="str">
        <x:f>IFERROR(VLOOKUP(C25,'Prompt Library'!$A$2:$F$51,3,FALSE),"")</x:f>
        <x:v>null</x:v>
      </x:c>
      <x:c r="F25" s="4" t="str">
        <x:f>IFERROR(VLOOKUP(C25,'Prompt Library'!$A$2:$F$51,4,FALSE),"")</x:f>
        <x:v>null</x:v>
      </x:c>
      <x:c r="G25" s="4">
        <x:f>IF(C25="","",ROW()-1)</x:f>
      </x:c>
      <x:c r="H25" s="4" t="n"/>
      <x:c r="I25" s="5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</x:row>
    <x:row r="26" ht="60" customHeight="1">
      <x:c r="A26" s="4" t="n"/>
      <x:c r="B26" s="5" t="n"/>
      <x:c r="C26" s="4" t="n"/>
      <x:c r="D26" s="4" t="str">
        <x:f>IFERROR(VLOOKUP(C26,'Prompt Library'!$A$2:$F$51,2,FALSE),"")</x:f>
        <x:v>null</x:v>
      </x:c>
      <x:c r="E26" s="4" t="str">
        <x:f>IFERROR(VLOOKUP(C26,'Prompt Library'!$A$2:$F$51,3,FALSE),"")</x:f>
        <x:v>null</x:v>
      </x:c>
      <x:c r="F26" s="4" t="str">
        <x:f>IFERROR(VLOOKUP(C26,'Prompt Library'!$A$2:$F$51,4,FALSE),"")</x:f>
        <x:v>null</x:v>
      </x:c>
      <x:c r="G26" s="4">
        <x:f>IF(C26="","",ROW()-1)</x:f>
      </x:c>
      <x:c r="H26" s="4" t="n"/>
      <x:c r="I26" s="5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</x:row>
    <x:row r="27" ht="60" customHeight="1">
      <x:c r="A27" s="4" t="n"/>
      <x:c r="B27" s="5" t="n"/>
      <x:c r="C27" s="4" t="n"/>
      <x:c r="D27" s="4" t="str">
        <x:f>IFERROR(VLOOKUP(C27,'Prompt Library'!$A$2:$F$51,2,FALSE),"")</x:f>
        <x:v>null</x:v>
      </x:c>
      <x:c r="E27" s="4" t="str">
        <x:f>IFERROR(VLOOKUP(C27,'Prompt Library'!$A$2:$F$51,3,FALSE),"")</x:f>
        <x:v>null</x:v>
      </x:c>
      <x:c r="F27" s="4" t="str">
        <x:f>IFERROR(VLOOKUP(C27,'Prompt Library'!$A$2:$F$51,4,FALSE),"")</x:f>
        <x:v>null</x:v>
      </x:c>
      <x:c r="G27" s="4">
        <x:f>IF(C27="","",ROW()-1)</x:f>
      </x:c>
      <x:c r="H27" s="4" t="n"/>
      <x:c r="I27" s="5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</x:row>
    <x:row r="28" ht="60" customHeight="1">
      <x:c r="A28" s="4" t="n"/>
      <x:c r="B28" s="5" t="n"/>
      <x:c r="C28" s="4" t="n"/>
      <x:c r="D28" s="4" t="str">
        <x:f>IFERROR(VLOOKUP(C28,'Prompt Library'!$A$2:$F$51,2,FALSE),"")</x:f>
        <x:v>null</x:v>
      </x:c>
      <x:c r="E28" s="4" t="str">
        <x:f>IFERROR(VLOOKUP(C28,'Prompt Library'!$A$2:$F$51,3,FALSE),"")</x:f>
        <x:v>null</x:v>
      </x:c>
      <x:c r="F28" s="4" t="str">
        <x:f>IFERROR(VLOOKUP(C28,'Prompt Library'!$A$2:$F$51,4,FALSE),"")</x:f>
        <x:v>null</x:v>
      </x:c>
      <x:c r="G28" s="4">
        <x:f>IF(C28="","",ROW()-1)</x:f>
      </x:c>
      <x:c r="H28" s="4" t="n"/>
      <x:c r="I28" s="5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</x:row>
    <x:row r="29" ht="60" customHeight="1">
      <x:c r="A29" s="4" t="n"/>
      <x:c r="B29" s="5" t="n"/>
      <x:c r="C29" s="4" t="n"/>
      <x:c r="D29" s="4" t="str">
        <x:f>IFERROR(VLOOKUP(C29,'Prompt Library'!$A$2:$F$51,2,FALSE),"")</x:f>
        <x:v>null</x:v>
      </x:c>
      <x:c r="E29" s="4" t="str">
        <x:f>IFERROR(VLOOKUP(C29,'Prompt Library'!$A$2:$F$51,3,FALSE),"")</x:f>
        <x:v>null</x:v>
      </x:c>
      <x:c r="F29" s="4" t="str">
        <x:f>IFERROR(VLOOKUP(C29,'Prompt Library'!$A$2:$F$51,4,FALSE),"")</x:f>
        <x:v>null</x:v>
      </x:c>
      <x:c r="G29" s="4">
        <x:f>IF(C29="","",ROW()-1)</x:f>
      </x:c>
      <x:c r="H29" s="4" t="n"/>
      <x:c r="I29" s="5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</x:row>
    <x:row r="30" ht="60" customHeight="1">
      <x:c r="A30" s="4" t="n"/>
      <x:c r="B30" s="5" t="n"/>
      <x:c r="C30" s="4" t="n"/>
      <x:c r="D30" s="4" t="str">
        <x:f>IFERROR(VLOOKUP(C30,'Prompt Library'!$A$2:$F$51,2,FALSE),"")</x:f>
        <x:v>null</x:v>
      </x:c>
      <x:c r="E30" s="4" t="str">
        <x:f>IFERROR(VLOOKUP(C30,'Prompt Library'!$A$2:$F$51,3,FALSE),"")</x:f>
        <x:v>null</x:v>
      </x:c>
      <x:c r="F30" s="4" t="str">
        <x:f>IFERROR(VLOOKUP(C30,'Prompt Library'!$A$2:$F$51,4,FALSE),"")</x:f>
        <x:v>null</x:v>
      </x:c>
      <x:c r="G30" s="4">
        <x:f>IF(C30="","",ROW()-1)</x:f>
      </x:c>
      <x:c r="H30" s="4" t="n"/>
      <x:c r="I30" s="5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</x:row>
    <x:row r="31" ht="60" customHeight="1">
      <x:c r="A31" s="4" t="n"/>
      <x:c r="B31" s="5" t="n"/>
      <x:c r="C31" s="4" t="n"/>
      <x:c r="D31" s="4" t="str">
        <x:f>IFERROR(VLOOKUP(C31,'Prompt Library'!$A$2:$F$51,2,FALSE),"")</x:f>
        <x:v>null</x:v>
      </x:c>
      <x:c r="E31" s="4" t="str">
        <x:f>IFERROR(VLOOKUP(C31,'Prompt Library'!$A$2:$F$51,3,FALSE),"")</x:f>
        <x:v>null</x:v>
      </x:c>
      <x:c r="F31" s="4" t="str">
        <x:f>IFERROR(VLOOKUP(C31,'Prompt Library'!$A$2:$F$51,4,FALSE),"")</x:f>
        <x:v>null</x:v>
      </x:c>
      <x:c r="G31" s="4">
        <x:f>IF(C31="","",ROW()-1)</x:f>
      </x:c>
      <x:c r="H31" s="4" t="n"/>
      <x:c r="I31" s="5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</x:row>
    <x:row r="32" ht="60" customHeight="1">
      <x:c r="A32" s="4" t="n"/>
      <x:c r="B32" s="5" t="n"/>
      <x:c r="C32" s="4" t="n"/>
      <x:c r="D32" s="4" t="str">
        <x:f>IFERROR(VLOOKUP(C32,'Prompt Library'!$A$2:$F$51,2,FALSE),"")</x:f>
        <x:v>null</x:v>
      </x:c>
      <x:c r="E32" s="4" t="str">
        <x:f>IFERROR(VLOOKUP(C32,'Prompt Library'!$A$2:$F$51,3,FALSE),"")</x:f>
        <x:v>null</x:v>
      </x:c>
      <x:c r="F32" s="4" t="str">
        <x:f>IFERROR(VLOOKUP(C32,'Prompt Library'!$A$2:$F$51,4,FALSE),"")</x:f>
        <x:v>null</x:v>
      </x:c>
      <x:c r="G32" s="4">
        <x:f>IF(C32="","",ROW()-1)</x:f>
      </x:c>
      <x:c r="H32" s="4" t="n"/>
      <x:c r="I32" s="5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</x:row>
    <x:row r="33" ht="60" customHeight="1">
      <x:c r="A33" s="4" t="n"/>
      <x:c r="B33" s="5" t="n"/>
      <x:c r="C33" s="4" t="n"/>
      <x:c r="D33" s="4" t="str">
        <x:f>IFERROR(VLOOKUP(C33,'Prompt Library'!$A$2:$F$51,2,FALSE),"")</x:f>
        <x:v>null</x:v>
      </x:c>
      <x:c r="E33" s="4" t="str">
        <x:f>IFERROR(VLOOKUP(C33,'Prompt Library'!$A$2:$F$51,3,FALSE),"")</x:f>
        <x:v>null</x:v>
      </x:c>
      <x:c r="F33" s="4" t="str">
        <x:f>IFERROR(VLOOKUP(C33,'Prompt Library'!$A$2:$F$51,4,FALSE),"")</x:f>
        <x:v>null</x:v>
      </x:c>
      <x:c r="G33" s="4">
        <x:f>IF(C33="","",ROW()-1)</x:f>
      </x:c>
      <x:c r="H33" s="4" t="n"/>
      <x:c r="I33" s="5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</x:row>
    <x:row r="34" ht="60" customHeight="1">
      <x:c r="A34" s="4" t="n"/>
      <x:c r="B34" s="5" t="n"/>
      <x:c r="C34" s="4" t="n"/>
      <x:c r="D34" s="4" t="str">
        <x:f>IFERROR(VLOOKUP(C34,'Prompt Library'!$A$2:$F$51,2,FALSE),"")</x:f>
        <x:v>null</x:v>
      </x:c>
      <x:c r="E34" s="4" t="str">
        <x:f>IFERROR(VLOOKUP(C34,'Prompt Library'!$A$2:$F$51,3,FALSE),"")</x:f>
        <x:v>null</x:v>
      </x:c>
      <x:c r="F34" s="4" t="str">
        <x:f>IFERROR(VLOOKUP(C34,'Prompt Library'!$A$2:$F$51,4,FALSE),"")</x:f>
        <x:v>null</x:v>
      </x:c>
      <x:c r="G34" s="4">
        <x:f>IF(C34="","",ROW()-1)</x:f>
      </x:c>
      <x:c r="H34" s="4" t="n"/>
      <x:c r="I34" s="5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</x:row>
    <x:row r="35" ht="60" customHeight="1">
      <x:c r="A35" s="4" t="n"/>
      <x:c r="B35" s="5" t="n"/>
      <x:c r="C35" s="4" t="n"/>
      <x:c r="D35" s="4" t="str">
        <x:f>IFERROR(VLOOKUP(C35,'Prompt Library'!$A$2:$F$51,2,FALSE),"")</x:f>
        <x:v>null</x:v>
      </x:c>
      <x:c r="E35" s="4" t="str">
        <x:f>IFERROR(VLOOKUP(C35,'Prompt Library'!$A$2:$F$51,3,FALSE),"")</x:f>
        <x:v>null</x:v>
      </x:c>
      <x:c r="F35" s="4" t="str">
        <x:f>IFERROR(VLOOKUP(C35,'Prompt Library'!$A$2:$F$51,4,FALSE),"")</x:f>
        <x:v>null</x:v>
      </x:c>
      <x:c r="G35" s="4">
        <x:f>IF(C35="","",ROW()-1)</x:f>
      </x:c>
      <x:c r="H35" s="4" t="n"/>
      <x:c r="I35" s="5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</x:row>
    <x:row r="36" ht="60" customHeight="1">
      <x:c r="A36" s="4" t="n"/>
      <x:c r="B36" s="5" t="n"/>
      <x:c r="C36" s="4" t="n"/>
      <x:c r="D36" s="4" t="str">
        <x:f>IFERROR(VLOOKUP(C36,'Prompt Library'!$A$2:$F$51,2,FALSE),"")</x:f>
        <x:v>null</x:v>
      </x:c>
      <x:c r="E36" s="4" t="str">
        <x:f>IFERROR(VLOOKUP(C36,'Prompt Library'!$A$2:$F$51,3,FALSE),"")</x:f>
        <x:v>null</x:v>
      </x:c>
      <x:c r="F36" s="4" t="str">
        <x:f>IFERROR(VLOOKUP(C36,'Prompt Library'!$A$2:$F$51,4,FALSE),"")</x:f>
        <x:v>null</x:v>
      </x:c>
      <x:c r="G36" s="4">
        <x:f>IF(C36="","",ROW()-1)</x:f>
      </x:c>
      <x:c r="H36" s="4" t="n"/>
      <x:c r="I36" s="5" t="n"/>
      <x:c r="J36" s="4" t="n"/>
      <x:c r="K36" s="4" t="n"/>
      <x:c r="L36" s="4" t="n"/>
      <x:c r="M36" s="4" t="n"/>
      <x:c r="N36" s="4" t="n"/>
      <x:c r="O36" s="4" t="n"/>
      <x:c r="P36" s="4" t="n"/>
      <x:c r="Q36" s="4" t="n"/>
      <x:c r="R36" s="4" t="n"/>
      <x:c r="S36" s="4" t="n"/>
      <x:c r="T36" s="4" t="n"/>
      <x:c r="U36" s="4" t="n"/>
    </x:row>
    <x:row r="37" ht="60" customHeight="1">
      <x:c r="A37" s="4" t="n"/>
      <x:c r="B37" s="5" t="n"/>
      <x:c r="C37" s="4" t="n"/>
      <x:c r="D37" s="4" t="str">
        <x:f>IFERROR(VLOOKUP(C37,'Prompt Library'!$A$2:$F$51,2,FALSE),"")</x:f>
        <x:v>null</x:v>
      </x:c>
      <x:c r="E37" s="4" t="str">
        <x:f>IFERROR(VLOOKUP(C37,'Prompt Library'!$A$2:$F$51,3,FALSE),"")</x:f>
        <x:v>null</x:v>
      </x:c>
      <x:c r="F37" s="4" t="str">
        <x:f>IFERROR(VLOOKUP(C37,'Prompt Library'!$A$2:$F$51,4,FALSE),"")</x:f>
        <x:v>null</x:v>
      </x:c>
      <x:c r="G37" s="4">
        <x:f>IF(C37="","",ROW()-1)</x:f>
      </x:c>
      <x:c r="H37" s="4" t="n"/>
      <x:c r="I37" s="5" t="n"/>
      <x:c r="J37" s="4" t="n"/>
      <x:c r="K37" s="4" t="n"/>
      <x:c r="L37" s="4" t="n"/>
      <x:c r="M37" s="4" t="n"/>
      <x:c r="N37" s="4" t="n"/>
      <x:c r="O37" s="4" t="n"/>
      <x:c r="P37" s="4" t="n"/>
      <x:c r="Q37" s="4" t="n"/>
      <x:c r="R37" s="4" t="n"/>
      <x:c r="S37" s="4" t="n"/>
      <x:c r="T37" s="4" t="n"/>
      <x:c r="U37" s="4" t="n"/>
    </x:row>
    <x:row r="38" ht="60" customHeight="1">
      <x:c r="A38" s="4" t="n"/>
      <x:c r="B38" s="5" t="n"/>
      <x:c r="C38" s="4" t="n"/>
      <x:c r="D38" s="4" t="str">
        <x:f>IFERROR(VLOOKUP(C38,'Prompt Library'!$A$2:$F$51,2,FALSE),"")</x:f>
        <x:v>null</x:v>
      </x:c>
      <x:c r="E38" s="4" t="str">
        <x:f>IFERROR(VLOOKUP(C38,'Prompt Library'!$A$2:$F$51,3,FALSE),"")</x:f>
        <x:v>null</x:v>
      </x:c>
      <x:c r="F38" s="4" t="str">
        <x:f>IFERROR(VLOOKUP(C38,'Prompt Library'!$A$2:$F$51,4,FALSE),"")</x:f>
        <x:v>null</x:v>
      </x:c>
      <x:c r="G38" s="4">
        <x:f>IF(C38="","",ROW()-1)</x:f>
      </x:c>
      <x:c r="H38" s="4" t="n"/>
      <x:c r="I38" s="5" t="n"/>
      <x:c r="J38" s="4" t="n"/>
      <x:c r="K38" s="4" t="n"/>
      <x:c r="L38" s="4" t="n"/>
      <x:c r="M38" s="4" t="n"/>
      <x:c r="N38" s="4" t="n"/>
      <x:c r="O38" s="4" t="n"/>
      <x:c r="P38" s="4" t="n"/>
      <x:c r="Q38" s="4" t="n"/>
      <x:c r="R38" s="4" t="n"/>
      <x:c r="S38" s="4" t="n"/>
      <x:c r="T38" s="4" t="n"/>
      <x:c r="U38" s="4" t="n"/>
    </x:row>
    <x:row r="39" ht="60" customHeight="1">
      <x:c r="A39" s="4" t="n"/>
      <x:c r="B39" s="5" t="n"/>
      <x:c r="C39" s="4" t="n"/>
      <x:c r="D39" s="4" t="str">
        <x:f>IFERROR(VLOOKUP(C39,'Prompt Library'!$A$2:$F$51,2,FALSE),"")</x:f>
        <x:v>null</x:v>
      </x:c>
      <x:c r="E39" s="4" t="str">
        <x:f>IFERROR(VLOOKUP(C39,'Prompt Library'!$A$2:$F$51,3,FALSE),"")</x:f>
        <x:v>null</x:v>
      </x:c>
      <x:c r="F39" s="4" t="str">
        <x:f>IFERROR(VLOOKUP(C39,'Prompt Library'!$A$2:$F$51,4,FALSE),"")</x:f>
        <x:v>null</x:v>
      </x:c>
      <x:c r="G39" s="4">
        <x:f>IF(C39="","",ROW()-1)</x:f>
      </x:c>
      <x:c r="H39" s="4" t="n"/>
      <x:c r="I39" s="5" t="n"/>
      <x:c r="J39" s="4" t="n"/>
      <x:c r="K39" s="4" t="n"/>
      <x:c r="L39" s="4" t="n"/>
      <x:c r="M39" s="4" t="n"/>
      <x:c r="N39" s="4" t="n"/>
      <x:c r="O39" s="4" t="n"/>
      <x:c r="P39" s="4" t="n"/>
      <x:c r="Q39" s="4" t="n"/>
      <x:c r="R39" s="4" t="n"/>
      <x:c r="S39" s="4" t="n"/>
      <x:c r="T39" s="4" t="n"/>
      <x:c r="U39" s="4" t="n"/>
    </x:row>
    <x:row r="40" ht="60" customHeight="1">
      <x:c r="A40" s="4" t="n"/>
      <x:c r="B40" s="5" t="n"/>
      <x:c r="C40" s="4" t="n"/>
      <x:c r="D40" s="4" t="str">
        <x:f>IFERROR(VLOOKUP(C40,'Prompt Library'!$A$2:$F$51,2,FALSE),"")</x:f>
        <x:v>null</x:v>
      </x:c>
      <x:c r="E40" s="4" t="str">
        <x:f>IFERROR(VLOOKUP(C40,'Prompt Library'!$A$2:$F$51,3,FALSE),"")</x:f>
        <x:v>null</x:v>
      </x:c>
      <x:c r="F40" s="4" t="str">
        <x:f>IFERROR(VLOOKUP(C40,'Prompt Library'!$A$2:$F$51,4,FALSE),"")</x:f>
        <x:v>null</x:v>
      </x:c>
      <x:c r="G40" s="4">
        <x:f>IF(C40="","",ROW()-1)</x:f>
      </x:c>
      <x:c r="H40" s="4" t="n"/>
      <x:c r="I40" s="5" t="n"/>
      <x:c r="J40" s="4" t="n"/>
      <x:c r="K40" s="4" t="n"/>
      <x:c r="L40" s="4" t="n"/>
      <x:c r="M40" s="4" t="n"/>
      <x:c r="N40" s="4" t="n"/>
      <x:c r="O40" s="4" t="n"/>
      <x:c r="P40" s="4" t="n"/>
      <x:c r="Q40" s="4" t="n"/>
      <x:c r="R40" s="4" t="n"/>
      <x:c r="S40" s="4" t="n"/>
      <x:c r="T40" s="4" t="n"/>
      <x:c r="U40" s="4" t="n"/>
    </x:row>
    <x:row r="41" ht="60" customHeight="1">
      <x:c r="A41" s="4" t="n"/>
      <x:c r="B41" s="5" t="n"/>
      <x:c r="C41" s="4" t="n"/>
      <x:c r="D41" s="4" t="str">
        <x:f>IFERROR(VLOOKUP(C41,'Prompt Library'!$A$2:$F$51,2,FALSE),"")</x:f>
        <x:v>null</x:v>
      </x:c>
      <x:c r="E41" s="4" t="str">
        <x:f>IFERROR(VLOOKUP(C41,'Prompt Library'!$A$2:$F$51,3,FALSE),"")</x:f>
        <x:v>null</x:v>
      </x:c>
      <x:c r="F41" s="4" t="str">
        <x:f>IFERROR(VLOOKUP(C41,'Prompt Library'!$A$2:$F$51,4,FALSE),"")</x:f>
        <x:v>null</x:v>
      </x:c>
      <x:c r="G41" s="4">
        <x:f>IF(C41="","",ROW()-1)</x:f>
      </x:c>
      <x:c r="H41" s="4" t="n"/>
      <x:c r="I41" s="5" t="n"/>
      <x:c r="J41" s="4" t="n"/>
      <x:c r="K41" s="4" t="n"/>
      <x:c r="L41" s="4" t="n"/>
      <x:c r="M41" s="4" t="n"/>
      <x:c r="N41" s="4" t="n"/>
      <x:c r="O41" s="4" t="n"/>
      <x:c r="P41" s="4" t="n"/>
      <x:c r="Q41" s="4" t="n"/>
      <x:c r="R41" s="4" t="n"/>
      <x:c r="S41" s="4" t="n"/>
      <x:c r="T41" s="4" t="n"/>
      <x:c r="U41" s="4" t="n"/>
    </x:row>
    <x:row r="42" ht="60" customHeight="1">
      <x:c r="A42" s="4" t="n"/>
      <x:c r="B42" s="5" t="n"/>
      <x:c r="C42" s="4" t="n"/>
      <x:c r="D42" s="4" t="str">
        <x:f>IFERROR(VLOOKUP(C42,'Prompt Library'!$A$2:$F$51,2,FALSE),"")</x:f>
        <x:v>null</x:v>
      </x:c>
      <x:c r="E42" s="4" t="str">
        <x:f>IFERROR(VLOOKUP(C42,'Prompt Library'!$A$2:$F$51,3,FALSE),"")</x:f>
        <x:v>null</x:v>
      </x:c>
      <x:c r="F42" s="4" t="str">
        <x:f>IFERROR(VLOOKUP(C42,'Prompt Library'!$A$2:$F$51,4,FALSE),"")</x:f>
        <x:v>null</x:v>
      </x:c>
      <x:c r="G42" s="4">
        <x:f>IF(C42="","",ROW()-1)</x:f>
      </x:c>
      <x:c r="H42" s="4" t="n"/>
      <x:c r="I42" s="5" t="n"/>
      <x:c r="J42" s="4" t="n"/>
      <x:c r="K42" s="4" t="n"/>
      <x:c r="L42" s="4" t="n"/>
      <x:c r="M42" s="4" t="n"/>
      <x:c r="N42" s="4" t="n"/>
      <x:c r="O42" s="4" t="n"/>
      <x:c r="P42" s="4" t="n"/>
      <x:c r="Q42" s="4" t="n"/>
      <x:c r="R42" s="4" t="n"/>
      <x:c r="S42" s="4" t="n"/>
      <x:c r="T42" s="4" t="n"/>
      <x:c r="U42" s="4" t="n"/>
    </x:row>
    <x:row r="43" ht="60" customHeight="1">
      <x:c r="A43" s="4" t="n"/>
      <x:c r="B43" s="5" t="n"/>
      <x:c r="C43" s="4" t="n"/>
      <x:c r="D43" s="4" t="str">
        <x:f>IFERROR(VLOOKUP(C43,'Prompt Library'!$A$2:$F$51,2,FALSE),"")</x:f>
        <x:v>null</x:v>
      </x:c>
      <x:c r="E43" s="4" t="str">
        <x:f>IFERROR(VLOOKUP(C43,'Prompt Library'!$A$2:$F$51,3,FALSE),"")</x:f>
        <x:v>null</x:v>
      </x:c>
      <x:c r="F43" s="4" t="str">
        <x:f>IFERROR(VLOOKUP(C43,'Prompt Library'!$A$2:$F$51,4,FALSE),"")</x:f>
        <x:v>null</x:v>
      </x:c>
      <x:c r="G43" s="4">
        <x:f>IF(C43="","",ROW()-1)</x:f>
      </x:c>
      <x:c r="H43" s="4" t="n"/>
      <x:c r="I43" s="5" t="n"/>
      <x:c r="J43" s="4" t="n"/>
      <x:c r="K43" s="4" t="n"/>
      <x:c r="L43" s="4" t="n"/>
      <x:c r="M43" s="4" t="n"/>
      <x:c r="N43" s="4" t="n"/>
      <x:c r="O43" s="4" t="n"/>
      <x:c r="P43" s="4" t="n"/>
      <x:c r="Q43" s="4" t="n"/>
      <x:c r="R43" s="4" t="n"/>
      <x:c r="S43" s="4" t="n"/>
      <x:c r="T43" s="4" t="n"/>
      <x:c r="U43" s="4" t="n"/>
    </x:row>
    <x:row r="44" ht="60" customHeight="1">
      <x:c r="A44" s="4" t="n"/>
      <x:c r="B44" s="5" t="n"/>
      <x:c r="C44" s="4" t="n"/>
      <x:c r="D44" s="4" t="str">
        <x:f>IFERROR(VLOOKUP(C44,'Prompt Library'!$A$2:$F$51,2,FALSE),"")</x:f>
        <x:v>null</x:v>
      </x:c>
      <x:c r="E44" s="4" t="str">
        <x:f>IFERROR(VLOOKUP(C44,'Prompt Library'!$A$2:$F$51,3,FALSE),"")</x:f>
        <x:v>null</x:v>
      </x:c>
      <x:c r="F44" s="4" t="str">
        <x:f>IFERROR(VLOOKUP(C44,'Prompt Library'!$A$2:$F$51,4,FALSE),"")</x:f>
        <x:v>null</x:v>
      </x:c>
      <x:c r="G44" s="4">
        <x:f>IF(C44="","",ROW()-1)</x:f>
      </x:c>
      <x:c r="H44" s="4" t="n"/>
      <x:c r="I44" s="5" t="n"/>
      <x:c r="J44" s="4" t="n"/>
      <x:c r="K44" s="4" t="n"/>
      <x:c r="L44" s="4" t="n"/>
      <x:c r="M44" s="4" t="n"/>
      <x:c r="N44" s="4" t="n"/>
      <x:c r="O44" s="4" t="n"/>
      <x:c r="P44" s="4" t="n"/>
      <x:c r="Q44" s="4" t="n"/>
      <x:c r="R44" s="4" t="n"/>
      <x:c r="S44" s="4" t="n"/>
      <x:c r="T44" s="4" t="n"/>
      <x:c r="U44" s="4" t="n"/>
    </x:row>
    <x:row r="45" ht="60" customHeight="1">
      <x:c r="A45" s="4" t="n"/>
      <x:c r="B45" s="5" t="n"/>
      <x:c r="C45" s="4" t="n"/>
      <x:c r="D45" s="4" t="str">
        <x:f>IFERROR(VLOOKUP(C45,'Prompt Library'!$A$2:$F$51,2,FALSE),"")</x:f>
        <x:v>null</x:v>
      </x:c>
      <x:c r="E45" s="4" t="str">
        <x:f>IFERROR(VLOOKUP(C45,'Prompt Library'!$A$2:$F$51,3,FALSE),"")</x:f>
        <x:v>null</x:v>
      </x:c>
      <x:c r="F45" s="4" t="str">
        <x:f>IFERROR(VLOOKUP(C45,'Prompt Library'!$A$2:$F$51,4,FALSE),"")</x:f>
        <x:v>null</x:v>
      </x:c>
      <x:c r="G45" s="4">
        <x:f>IF(C45="","",ROW()-1)</x:f>
      </x:c>
      <x:c r="H45" s="4" t="n"/>
      <x:c r="I45" s="5" t="n"/>
      <x:c r="J45" s="4" t="n"/>
      <x:c r="K45" s="4" t="n"/>
      <x:c r="L45" s="4" t="n"/>
      <x:c r="M45" s="4" t="n"/>
      <x:c r="N45" s="4" t="n"/>
      <x:c r="O45" s="4" t="n"/>
      <x:c r="P45" s="4" t="n"/>
      <x:c r="Q45" s="4" t="n"/>
      <x:c r="R45" s="4" t="n"/>
      <x:c r="S45" s="4" t="n"/>
      <x:c r="T45" s="4" t="n"/>
      <x:c r="U45" s="4" t="n"/>
    </x:row>
    <x:row r="46" ht="60" customHeight="1">
      <x:c r="A46" s="4" t="n"/>
      <x:c r="B46" s="5" t="n"/>
      <x:c r="C46" s="4" t="n"/>
      <x:c r="D46" s="4" t="str">
        <x:f>IFERROR(VLOOKUP(C46,'Prompt Library'!$A$2:$F$51,2,FALSE),"")</x:f>
        <x:v>null</x:v>
      </x:c>
      <x:c r="E46" s="4" t="str">
        <x:f>IFERROR(VLOOKUP(C46,'Prompt Library'!$A$2:$F$51,3,FALSE),"")</x:f>
        <x:v>null</x:v>
      </x:c>
      <x:c r="F46" s="4" t="str">
        <x:f>IFERROR(VLOOKUP(C46,'Prompt Library'!$A$2:$F$51,4,FALSE),"")</x:f>
        <x:v>null</x:v>
      </x:c>
      <x:c r="G46" s="4">
        <x:f>IF(C46="","",ROW()-1)</x:f>
      </x:c>
      <x:c r="H46" s="4" t="n"/>
      <x:c r="I46" s="5" t="n"/>
      <x:c r="J46" s="4" t="n"/>
      <x:c r="K46" s="4" t="n"/>
      <x:c r="L46" s="4" t="n"/>
      <x:c r="M46" s="4" t="n"/>
      <x:c r="N46" s="4" t="n"/>
      <x:c r="O46" s="4" t="n"/>
      <x:c r="P46" s="4" t="n"/>
      <x:c r="Q46" s="4" t="n"/>
      <x:c r="R46" s="4" t="n"/>
      <x:c r="S46" s="4" t="n"/>
      <x:c r="T46" s="4" t="n"/>
      <x:c r="U46" s="4" t="n"/>
    </x:row>
    <x:row r="47" ht="60" customHeight="1">
      <x:c r="A47" s="4" t="n"/>
      <x:c r="B47" s="5" t="n"/>
      <x:c r="C47" s="4" t="n"/>
      <x:c r="D47" s="4" t="str">
        <x:f>IFERROR(VLOOKUP(C47,'Prompt Library'!$A$2:$F$51,2,FALSE),"")</x:f>
        <x:v>null</x:v>
      </x:c>
      <x:c r="E47" s="4" t="str">
        <x:f>IFERROR(VLOOKUP(C47,'Prompt Library'!$A$2:$F$51,3,FALSE),"")</x:f>
        <x:v>null</x:v>
      </x:c>
      <x:c r="F47" s="4" t="str">
        <x:f>IFERROR(VLOOKUP(C47,'Prompt Library'!$A$2:$F$51,4,FALSE),"")</x:f>
        <x:v>null</x:v>
      </x:c>
      <x:c r="G47" s="4">
        <x:f>IF(C47="","",ROW()-1)</x:f>
      </x:c>
      <x:c r="H47" s="4" t="n"/>
      <x:c r="I47" s="5" t="n"/>
      <x:c r="J47" s="4" t="n"/>
      <x:c r="K47" s="4" t="n"/>
      <x:c r="L47" s="4" t="n"/>
      <x:c r="M47" s="4" t="n"/>
      <x:c r="N47" s="4" t="n"/>
      <x:c r="O47" s="4" t="n"/>
      <x:c r="P47" s="4" t="n"/>
      <x:c r="Q47" s="4" t="n"/>
      <x:c r="R47" s="4" t="n"/>
      <x:c r="S47" s="4" t="n"/>
      <x:c r="T47" s="4" t="n"/>
      <x:c r="U47" s="4" t="n"/>
    </x:row>
    <x:row r="48" ht="60" customHeight="1">
      <x:c r="A48" s="4" t="n"/>
      <x:c r="B48" s="5" t="n"/>
      <x:c r="C48" s="4" t="n"/>
      <x:c r="D48" s="4" t="str">
        <x:f>IFERROR(VLOOKUP(C48,'Prompt Library'!$A$2:$F$51,2,FALSE),"")</x:f>
        <x:v>null</x:v>
      </x:c>
      <x:c r="E48" s="4" t="str">
        <x:f>IFERROR(VLOOKUP(C48,'Prompt Library'!$A$2:$F$51,3,FALSE),"")</x:f>
        <x:v>null</x:v>
      </x:c>
      <x:c r="F48" s="4" t="str">
        <x:f>IFERROR(VLOOKUP(C48,'Prompt Library'!$A$2:$F$51,4,FALSE),"")</x:f>
        <x:v>null</x:v>
      </x:c>
      <x:c r="G48" s="4">
        <x:f>IF(C48="","",ROW()-1)</x:f>
      </x:c>
      <x:c r="H48" s="4" t="n"/>
      <x:c r="I48" s="5" t="n"/>
      <x:c r="J48" s="4" t="n"/>
      <x:c r="K48" s="4" t="n"/>
      <x:c r="L48" s="4" t="n"/>
      <x:c r="M48" s="4" t="n"/>
      <x:c r="N48" s="4" t="n"/>
      <x:c r="O48" s="4" t="n"/>
      <x:c r="P48" s="4" t="n"/>
      <x:c r="Q48" s="4" t="n"/>
      <x:c r="R48" s="4" t="n"/>
      <x:c r="S48" s="4" t="n"/>
      <x:c r="T48" s="4" t="n"/>
      <x:c r="U48" s="4" t="n"/>
    </x:row>
    <x:row r="49" ht="60" customHeight="1">
      <x:c r="A49" s="4" t="n"/>
      <x:c r="B49" s="5" t="n"/>
      <x:c r="C49" s="4" t="n"/>
      <x:c r="D49" s="4" t="str">
        <x:f>IFERROR(VLOOKUP(C49,'Prompt Library'!$A$2:$F$51,2,FALSE),"")</x:f>
        <x:v>null</x:v>
      </x:c>
      <x:c r="E49" s="4" t="str">
        <x:f>IFERROR(VLOOKUP(C49,'Prompt Library'!$A$2:$F$51,3,FALSE),"")</x:f>
        <x:v>null</x:v>
      </x:c>
      <x:c r="F49" s="4" t="str">
        <x:f>IFERROR(VLOOKUP(C49,'Prompt Library'!$A$2:$F$51,4,FALSE),"")</x:f>
        <x:v>null</x:v>
      </x:c>
      <x:c r="G49" s="4">
        <x:f>IF(C49="","",ROW()-1)</x:f>
      </x:c>
      <x:c r="H49" s="4" t="n"/>
      <x:c r="I49" s="5" t="n"/>
      <x:c r="J49" s="4" t="n"/>
      <x:c r="K49" s="4" t="n"/>
      <x:c r="L49" s="4" t="n"/>
      <x:c r="M49" s="4" t="n"/>
      <x:c r="N49" s="4" t="n"/>
      <x:c r="O49" s="4" t="n"/>
      <x:c r="P49" s="4" t="n"/>
      <x:c r="Q49" s="4" t="n"/>
      <x:c r="R49" s="4" t="n"/>
      <x:c r="S49" s="4" t="n"/>
      <x:c r="T49" s="4" t="n"/>
      <x:c r="U49" s="4" t="n"/>
    </x:row>
    <x:row r="50" ht="60" customHeight="1">
      <x:c r="A50" s="4" t="n"/>
      <x:c r="B50" s="5" t="n"/>
      <x:c r="C50" s="4" t="n"/>
      <x:c r="D50" s="4" t="str">
        <x:f>IFERROR(VLOOKUP(C50,'Prompt Library'!$A$2:$F$51,2,FALSE),"")</x:f>
        <x:v>null</x:v>
      </x:c>
      <x:c r="E50" s="4" t="str">
        <x:f>IFERROR(VLOOKUP(C50,'Prompt Library'!$A$2:$F$51,3,FALSE),"")</x:f>
        <x:v>null</x:v>
      </x:c>
      <x:c r="F50" s="4" t="str">
        <x:f>IFERROR(VLOOKUP(C50,'Prompt Library'!$A$2:$F$51,4,FALSE),"")</x:f>
        <x:v>null</x:v>
      </x:c>
      <x:c r="G50" s="4">
        <x:f>IF(C50="","",ROW()-1)</x:f>
      </x:c>
      <x:c r="H50" s="4" t="n"/>
      <x:c r="I50" s="5" t="n"/>
      <x:c r="J50" s="4" t="n"/>
      <x:c r="K50" s="4" t="n"/>
      <x:c r="L50" s="4" t="n"/>
      <x:c r="M50" s="4" t="n"/>
      <x:c r="N50" s="4" t="n"/>
      <x:c r="O50" s="4" t="n"/>
      <x:c r="P50" s="4" t="n"/>
      <x:c r="Q50" s="4" t="n"/>
      <x:c r="R50" s="4" t="n"/>
      <x:c r="S50" s="4" t="n"/>
      <x:c r="T50" s="4" t="n"/>
      <x:c r="U50" s="4" t="n"/>
    </x:row>
    <x:row r="51" ht="60" customHeight="1">
      <x:c r="A51" s="4" t="n"/>
      <x:c r="B51" s="5" t="n"/>
      <x:c r="C51" s="4" t="n"/>
      <x:c r="D51" s="4">
        <x:f>IFERROR(VLOOKUP(C51,'Prompt Library'!$A$2:$F$51,2,FALSE),"")</x:f>
      </x:c>
      <x:c r="E51" s="4">
        <x:f>IFERROR(VLOOKUP(C51,'Prompt Library'!$A$2:$F$51,3,FALSE),"")</x:f>
      </x:c>
      <x:c r="F51" s="4">
        <x:f>IFERROR(VLOOKUP(C51,'Prompt Library'!$A$2:$F$51,4,FALSE),"")</x:f>
      </x:c>
      <x:c r="G51" s="4">
        <x:f>IF(C51="","",ROW()-1)</x:f>
      </x:c>
      <x:c r="H51" s="4" t="n"/>
      <x:c r="I51" s="5" t="n"/>
      <x:c r="J51" s="4" t="n"/>
      <x:c r="K51" s="4" t="n"/>
      <x:c r="L51" s="4" t="n"/>
      <x:c r="M51" s="4" t="n"/>
      <x:c r="N51" s="4" t="n"/>
      <x:c r="O51" s="4" t="n"/>
      <x:c r="P51" s="4" t="n"/>
      <x:c r="Q51" s="4" t="n"/>
      <x:c r="R51" s="4" t="n"/>
      <x:c r="S51" s="4" t="n"/>
      <x:c r="T51" s="4" t="n"/>
      <x:c r="U51" s="4" t="n"/>
    </x:row>
    <x:row r="52" ht="60" customHeight="1">
      <x:c r="A52" s="4" t="n"/>
      <x:c r="B52" s="5" t="n"/>
      <x:c r="C52" s="4" t="n"/>
      <x:c r="D52" s="4">
        <x:f>IFERROR(VLOOKUP(C52,'Prompt Library'!$A$2:$F$51,2,FALSE),"")</x:f>
      </x:c>
      <x:c r="E52" s="4">
        <x:f>IFERROR(VLOOKUP(C52,'Prompt Library'!$A$2:$F$51,3,FALSE),"")</x:f>
      </x:c>
      <x:c r="F52" s="4">
        <x:f>IFERROR(VLOOKUP(C52,'Prompt Library'!$A$2:$F$51,4,FALSE),"")</x:f>
      </x:c>
      <x:c r="G52" s="4">
        <x:f>IF(C52="","",ROW()-1)</x:f>
      </x:c>
      <x:c r="H52" s="4" t="n"/>
      <x:c r="I52" s="5" t="n"/>
      <x:c r="J52" s="4" t="n"/>
      <x:c r="K52" s="4" t="n"/>
      <x:c r="L52" s="4" t="n"/>
      <x:c r="M52" s="4" t="n"/>
      <x:c r="N52" s="4" t="n"/>
      <x:c r="O52" s="4" t="n"/>
      <x:c r="P52" s="4" t="n"/>
      <x:c r="Q52" s="4" t="n"/>
      <x:c r="R52" s="4" t="n"/>
      <x:c r="S52" s="4" t="n"/>
      <x:c r="T52" s="4" t="n"/>
      <x:c r="U52" s="4" t="n"/>
    </x:row>
    <x:row r="53" ht="60" customHeight="1">
      <x:c r="A53" s="4" t="n"/>
      <x:c r="B53" s="5" t="n"/>
      <x:c r="C53" s="4" t="n"/>
      <x:c r="D53" s="4">
        <x:f>IFERROR(VLOOKUP(C53,'Prompt Library'!$A$2:$F$51,2,FALSE),"")</x:f>
      </x:c>
      <x:c r="E53" s="4">
        <x:f>IFERROR(VLOOKUP(C53,'Prompt Library'!$A$2:$F$51,3,FALSE),"")</x:f>
      </x:c>
      <x:c r="F53" s="4">
        <x:f>IFERROR(VLOOKUP(C53,'Prompt Library'!$A$2:$F$51,4,FALSE),"")</x:f>
      </x:c>
      <x:c r="G53" s="4">
        <x:f>IF(C53="","",ROW()-1)</x:f>
      </x:c>
      <x:c r="H53" s="4" t="n"/>
      <x:c r="I53" s="5" t="n"/>
      <x:c r="J53" s="4" t="n"/>
      <x:c r="K53" s="4" t="n"/>
      <x:c r="L53" s="4" t="n"/>
      <x:c r="M53" s="4" t="n"/>
      <x:c r="N53" s="4" t="n"/>
      <x:c r="O53" s="4" t="n"/>
      <x:c r="P53" s="4" t="n"/>
      <x:c r="Q53" s="4" t="n"/>
      <x:c r="R53" s="4" t="n"/>
      <x:c r="S53" s="4" t="n"/>
      <x:c r="T53" s="4" t="n"/>
      <x:c r="U53" s="4" t="n"/>
    </x:row>
    <x:row r="54" ht="60" customHeight="1">
      <x:c r="A54" s="4" t="n"/>
      <x:c r="B54" s="5" t="n"/>
      <x:c r="C54" s="4" t="n"/>
      <x:c r="D54" s="4">
        <x:f>IFERROR(VLOOKUP(C54,'Prompt Library'!$A$2:$F$51,2,FALSE),"")</x:f>
      </x:c>
      <x:c r="E54" s="4">
        <x:f>IFERROR(VLOOKUP(C54,'Prompt Library'!$A$2:$F$51,3,FALSE),"")</x:f>
      </x:c>
      <x:c r="F54" s="4">
        <x:f>IFERROR(VLOOKUP(C54,'Prompt Library'!$A$2:$F$51,4,FALSE),"")</x:f>
      </x:c>
      <x:c r="G54" s="4">
        <x:f>IF(C54="","",ROW()-1)</x:f>
      </x:c>
      <x:c r="H54" s="4" t="n"/>
      <x:c r="I54" s="5" t="n"/>
      <x:c r="J54" s="4" t="n"/>
      <x:c r="K54" s="4" t="n"/>
      <x:c r="L54" s="4" t="n"/>
      <x:c r="M54" s="4" t="n"/>
      <x:c r="N54" s="4" t="n"/>
      <x:c r="O54" s="4" t="n"/>
      <x:c r="P54" s="4" t="n"/>
      <x:c r="Q54" s="4" t="n"/>
      <x:c r="R54" s="4" t="n"/>
      <x:c r="S54" s="4" t="n"/>
      <x:c r="T54" s="4" t="n"/>
      <x:c r="U54" s="4" t="n"/>
    </x:row>
    <x:row r="55" ht="60" customHeight="1">
      <x:c r="A55" s="4" t="n"/>
      <x:c r="B55" s="5" t="n"/>
      <x:c r="C55" s="4" t="n"/>
      <x:c r="D55" s="4">
        <x:f>IFERROR(VLOOKUP(C55,'Prompt Library'!$A$2:$F$51,2,FALSE),"")</x:f>
      </x:c>
      <x:c r="E55" s="4">
        <x:f>IFERROR(VLOOKUP(C55,'Prompt Library'!$A$2:$F$51,3,FALSE),"")</x:f>
      </x:c>
      <x:c r="F55" s="4">
        <x:f>IFERROR(VLOOKUP(C55,'Prompt Library'!$A$2:$F$51,4,FALSE),"")</x:f>
      </x:c>
      <x:c r="G55" s="4">
        <x:f>IF(C55="","",ROW()-1)</x:f>
      </x:c>
      <x:c r="H55" s="4" t="n"/>
      <x:c r="I55" s="5" t="n"/>
      <x:c r="J55" s="4" t="n"/>
      <x:c r="K55" s="4" t="n"/>
      <x:c r="L55" s="4" t="n"/>
      <x:c r="M55" s="4" t="n"/>
      <x:c r="N55" s="4" t="n"/>
      <x:c r="O55" s="4" t="n"/>
      <x:c r="P55" s="4" t="n"/>
      <x:c r="Q55" s="4" t="n"/>
      <x:c r="R55" s="4" t="n"/>
      <x:c r="S55" s="4" t="n"/>
      <x:c r="T55" s="4" t="n"/>
      <x:c r="U55" s="4" t="n"/>
    </x:row>
    <x:row r="56" ht="60" customHeight="1">
      <x:c r="A56" s="4" t="n"/>
      <x:c r="B56" s="5" t="n"/>
      <x:c r="C56" s="4" t="n"/>
      <x:c r="D56" s="4">
        <x:f>IFERROR(VLOOKUP(C56,'Prompt Library'!$A$2:$F$51,2,FALSE),"")</x:f>
      </x:c>
      <x:c r="E56" s="4">
        <x:f>IFERROR(VLOOKUP(C56,'Prompt Library'!$A$2:$F$51,3,FALSE),"")</x:f>
      </x:c>
      <x:c r="F56" s="4">
        <x:f>IFERROR(VLOOKUP(C56,'Prompt Library'!$A$2:$F$51,4,FALSE),"")</x:f>
      </x:c>
      <x:c r="G56" s="4">
        <x:f>IF(C56="","",ROW()-1)</x:f>
      </x:c>
      <x:c r="H56" s="4" t="n"/>
      <x:c r="I56" s="5" t="n"/>
      <x:c r="J56" s="4" t="n"/>
      <x:c r="K56" s="4" t="n"/>
      <x:c r="L56" s="4" t="n"/>
      <x:c r="M56" s="4" t="n"/>
      <x:c r="N56" s="4" t="n"/>
      <x:c r="O56" s="4" t="n"/>
      <x:c r="P56" s="4" t="n"/>
      <x:c r="Q56" s="4" t="n"/>
      <x:c r="R56" s="4" t="n"/>
      <x:c r="S56" s="4" t="n"/>
      <x:c r="T56" s="4" t="n"/>
      <x:c r="U56" s="4" t="n"/>
    </x:row>
    <x:row r="57" ht="60" customHeight="1">
      <x:c r="A57" s="4" t="n"/>
      <x:c r="B57" s="5" t="n"/>
      <x:c r="C57" s="4" t="n"/>
      <x:c r="D57" s="4">
        <x:f>IFERROR(VLOOKUP(C57,'Prompt Library'!$A$2:$F$51,2,FALSE),"")</x:f>
      </x:c>
      <x:c r="E57" s="4">
        <x:f>IFERROR(VLOOKUP(C57,'Prompt Library'!$A$2:$F$51,3,FALSE),"")</x:f>
      </x:c>
      <x:c r="F57" s="4">
        <x:f>IFERROR(VLOOKUP(C57,'Prompt Library'!$A$2:$F$51,4,FALSE),"")</x:f>
      </x:c>
      <x:c r="G57" s="4">
        <x:f>IF(C57="","",ROW()-1)</x:f>
      </x:c>
      <x:c r="H57" s="4" t="n"/>
      <x:c r="I57" s="5" t="n"/>
      <x:c r="J57" s="4" t="n"/>
      <x:c r="K57" s="4" t="n"/>
      <x:c r="L57" s="4" t="n"/>
      <x:c r="M57" s="4" t="n"/>
      <x:c r="N57" s="4" t="n"/>
      <x:c r="O57" s="4" t="n"/>
      <x:c r="P57" s="4" t="n"/>
      <x:c r="Q57" s="4" t="n"/>
      <x:c r="R57" s="4" t="n"/>
      <x:c r="S57" s="4" t="n"/>
      <x:c r="T57" s="4" t="n"/>
      <x:c r="U57" s="4" t="n"/>
    </x:row>
    <x:row r="58" ht="60" customHeight="1">
      <x:c r="A58" s="4" t="n"/>
      <x:c r="B58" s="5" t="n"/>
      <x:c r="C58" s="4" t="n"/>
      <x:c r="D58" s="4">
        <x:f>IFERROR(VLOOKUP(C58,'Prompt Library'!$A$2:$F$51,2,FALSE),"")</x:f>
      </x:c>
      <x:c r="E58" s="4">
        <x:f>IFERROR(VLOOKUP(C58,'Prompt Library'!$A$2:$F$51,3,FALSE),"")</x:f>
      </x:c>
      <x:c r="F58" s="4">
        <x:f>IFERROR(VLOOKUP(C58,'Prompt Library'!$A$2:$F$51,4,FALSE),"")</x:f>
      </x:c>
      <x:c r="G58" s="4">
        <x:f>IF(C58="","",ROW()-1)</x:f>
      </x:c>
      <x:c r="H58" s="4" t="n"/>
      <x:c r="I58" s="5" t="n"/>
      <x:c r="J58" s="4" t="n"/>
      <x:c r="K58" s="4" t="n"/>
      <x:c r="L58" s="4" t="n"/>
      <x:c r="M58" s="4" t="n"/>
      <x:c r="N58" s="4" t="n"/>
      <x:c r="O58" s="4" t="n"/>
      <x:c r="P58" s="4" t="n"/>
      <x:c r="Q58" s="4" t="n"/>
      <x:c r="R58" s="4" t="n"/>
      <x:c r="S58" s="4" t="n"/>
      <x:c r="T58" s="4" t="n"/>
      <x:c r="U58" s="4" t="n"/>
    </x:row>
    <x:row r="59" ht="60" customHeight="1">
      <x:c r="A59" s="4" t="n"/>
      <x:c r="B59" s="5" t="n"/>
      <x:c r="C59" s="4" t="n"/>
      <x:c r="D59" s="4">
        <x:f>IFERROR(VLOOKUP(C59,'Prompt Library'!$A$2:$F$51,2,FALSE),"")</x:f>
      </x:c>
      <x:c r="E59" s="4">
        <x:f>IFERROR(VLOOKUP(C59,'Prompt Library'!$A$2:$F$51,3,FALSE),"")</x:f>
      </x:c>
      <x:c r="F59" s="4">
        <x:f>IFERROR(VLOOKUP(C59,'Prompt Library'!$A$2:$F$51,4,FALSE),"")</x:f>
      </x:c>
      <x:c r="G59" s="4">
        <x:f>IF(C59="","",ROW()-1)</x:f>
      </x:c>
      <x:c r="H59" s="4" t="n"/>
      <x:c r="I59" s="5" t="n"/>
      <x:c r="J59" s="4" t="n"/>
      <x:c r="K59" s="4" t="n"/>
      <x:c r="L59" s="4" t="n"/>
      <x:c r="M59" s="4" t="n"/>
      <x:c r="N59" s="4" t="n"/>
      <x:c r="O59" s="4" t="n"/>
      <x:c r="P59" s="4" t="n"/>
      <x:c r="Q59" s="4" t="n"/>
      <x:c r="R59" s="4" t="n"/>
      <x:c r="S59" s="4" t="n"/>
      <x:c r="T59" s="4" t="n"/>
      <x:c r="U59" s="4" t="n"/>
    </x:row>
    <x:row r="60" ht="60" customHeight="1">
      <x:c r="A60" s="4" t="n"/>
      <x:c r="B60" s="5" t="n"/>
      <x:c r="C60" s="4" t="n"/>
      <x:c r="D60" s="4">
        <x:f>IFERROR(VLOOKUP(C60,'Prompt Library'!$A$2:$F$51,2,FALSE),"")</x:f>
      </x:c>
      <x:c r="E60" s="4">
        <x:f>IFERROR(VLOOKUP(C60,'Prompt Library'!$A$2:$F$51,3,FALSE),"")</x:f>
      </x:c>
      <x:c r="F60" s="4">
        <x:f>IFERROR(VLOOKUP(C60,'Prompt Library'!$A$2:$F$51,4,FALSE),"")</x:f>
      </x:c>
      <x:c r="G60" s="4">
        <x:f>IF(C60="","",ROW()-1)</x:f>
      </x:c>
      <x:c r="H60" s="4" t="n"/>
      <x:c r="I60" s="5" t="n"/>
      <x:c r="J60" s="4" t="n"/>
      <x:c r="K60" s="4" t="n"/>
      <x:c r="L60" s="4" t="n"/>
      <x:c r="M60" s="4" t="n"/>
      <x:c r="N60" s="4" t="n"/>
      <x:c r="O60" s="4" t="n"/>
      <x:c r="P60" s="4" t="n"/>
      <x:c r="Q60" s="4" t="n"/>
      <x:c r="R60" s="4" t="n"/>
      <x:c r="S60" s="4" t="n"/>
      <x:c r="T60" s="4" t="n"/>
      <x:c r="U60" s="4" t="n"/>
    </x:row>
    <x:row r="61" ht="60" customHeight="1">
      <x:c r="A61" s="4" t="n"/>
      <x:c r="B61" s="5" t="n"/>
      <x:c r="C61" s="4" t="n"/>
      <x:c r="D61" s="4">
        <x:f>IFERROR(VLOOKUP(C61,'Prompt Library'!$A$2:$F$51,2,FALSE),"")</x:f>
      </x:c>
      <x:c r="E61" s="4">
        <x:f>IFERROR(VLOOKUP(C61,'Prompt Library'!$A$2:$F$51,3,FALSE),"")</x:f>
      </x:c>
      <x:c r="F61" s="4">
        <x:f>IFERROR(VLOOKUP(C61,'Prompt Library'!$A$2:$F$51,4,FALSE),"")</x:f>
      </x:c>
      <x:c r="G61" s="4">
        <x:f>IF(C61="","",ROW()-1)</x:f>
      </x:c>
      <x:c r="H61" s="4" t="n"/>
      <x:c r="I61" s="5" t="n"/>
      <x:c r="J61" s="4" t="n"/>
      <x:c r="K61" s="4" t="n"/>
      <x:c r="L61" s="4" t="n"/>
      <x:c r="M61" s="4" t="n"/>
      <x:c r="N61" s="4" t="n"/>
      <x:c r="O61" s="4" t="n"/>
      <x:c r="P61" s="4" t="n"/>
      <x:c r="Q61" s="4" t="n"/>
      <x:c r="R61" s="4" t="n"/>
      <x:c r="S61" s="4" t="n"/>
      <x:c r="T61" s="4" t="n"/>
      <x:c r="U61" s="4" t="n"/>
    </x:row>
    <x:row r="62" ht="60" customHeight="1">
      <x:c r="A62" s="4" t="n"/>
      <x:c r="B62" s="5" t="n"/>
      <x:c r="C62" s="4" t="n"/>
      <x:c r="D62" s="4">
        <x:f>IFERROR(VLOOKUP(C62,'Prompt Library'!$A$2:$F$51,2,FALSE),"")</x:f>
      </x:c>
      <x:c r="E62" s="4">
        <x:f>IFERROR(VLOOKUP(C62,'Prompt Library'!$A$2:$F$51,3,FALSE),"")</x:f>
      </x:c>
      <x:c r="F62" s="4">
        <x:f>IFERROR(VLOOKUP(C62,'Prompt Library'!$A$2:$F$51,4,FALSE),"")</x:f>
      </x:c>
      <x:c r="G62" s="4">
        <x:f>IF(C62="","",ROW()-1)</x:f>
      </x:c>
      <x:c r="H62" s="4" t="n"/>
      <x:c r="I62" s="5" t="n"/>
      <x:c r="J62" s="4" t="n"/>
      <x:c r="K62" s="4" t="n"/>
      <x:c r="L62" s="4" t="n"/>
      <x:c r="M62" s="4" t="n"/>
      <x:c r="N62" s="4" t="n"/>
      <x:c r="O62" s="4" t="n"/>
      <x:c r="P62" s="4" t="n"/>
      <x:c r="Q62" s="4" t="n"/>
      <x:c r="R62" s="4" t="n"/>
      <x:c r="S62" s="4" t="n"/>
      <x:c r="T62" s="4" t="n"/>
      <x:c r="U62" s="4" t="n"/>
    </x:row>
    <x:row r="63" ht="60" customHeight="1">
      <x:c r="A63" s="4" t="n"/>
      <x:c r="B63" s="5" t="n"/>
      <x:c r="C63" s="4" t="n"/>
      <x:c r="D63" s="4">
        <x:f>IFERROR(VLOOKUP(C63,'Prompt Library'!$A$2:$F$51,2,FALSE),"")</x:f>
      </x:c>
      <x:c r="E63" s="4">
        <x:f>IFERROR(VLOOKUP(C63,'Prompt Library'!$A$2:$F$51,3,FALSE),"")</x:f>
      </x:c>
      <x:c r="F63" s="4">
        <x:f>IFERROR(VLOOKUP(C63,'Prompt Library'!$A$2:$F$51,4,FALSE),"")</x:f>
      </x:c>
      <x:c r="G63" s="4">
        <x:f>IF(C63="","",ROW()-1)</x:f>
      </x:c>
      <x:c r="H63" s="4" t="n"/>
      <x:c r="I63" s="5" t="n"/>
      <x:c r="J63" s="4" t="n"/>
      <x:c r="K63" s="4" t="n"/>
      <x:c r="L63" s="4" t="n"/>
      <x:c r="M63" s="4" t="n"/>
      <x:c r="N63" s="4" t="n"/>
      <x:c r="O63" s="4" t="n"/>
      <x:c r="P63" s="4" t="n"/>
      <x:c r="Q63" s="4" t="n"/>
      <x:c r="R63" s="4" t="n"/>
      <x:c r="S63" s="4" t="n"/>
      <x:c r="T63" s="4" t="n"/>
      <x:c r="U63" s="4" t="n"/>
    </x:row>
    <x:row r="64" ht="60" customHeight="1">
      <x:c r="A64" s="4" t="n"/>
      <x:c r="B64" s="5" t="n"/>
      <x:c r="C64" s="4" t="n"/>
      <x:c r="D64" s="4">
        <x:f>IFERROR(VLOOKUP(C64,'Prompt Library'!$A$2:$F$51,2,FALSE),"")</x:f>
      </x:c>
      <x:c r="E64" s="4">
        <x:f>IFERROR(VLOOKUP(C64,'Prompt Library'!$A$2:$F$51,3,FALSE),"")</x:f>
      </x:c>
      <x:c r="F64" s="4">
        <x:f>IFERROR(VLOOKUP(C64,'Prompt Library'!$A$2:$F$51,4,FALSE),"")</x:f>
      </x:c>
      <x:c r="G64" s="4">
        <x:f>IF(C64="","",ROW()-1)</x:f>
      </x:c>
      <x:c r="H64" s="4" t="n"/>
      <x:c r="I64" s="5" t="n"/>
      <x:c r="J64" s="4" t="n"/>
      <x:c r="K64" s="4" t="n"/>
      <x:c r="L64" s="4" t="n"/>
      <x:c r="M64" s="4" t="n"/>
      <x:c r="N64" s="4" t="n"/>
      <x:c r="O64" s="4" t="n"/>
      <x:c r="P64" s="4" t="n"/>
      <x:c r="Q64" s="4" t="n"/>
      <x:c r="R64" s="4" t="n"/>
      <x:c r="S64" s="4" t="n"/>
      <x:c r="T64" s="4" t="n"/>
      <x:c r="U64" s="4" t="n"/>
    </x:row>
    <x:row r="65" ht="60" customHeight="1">
      <x:c r="A65" s="4" t="n"/>
      <x:c r="B65" s="5" t="n"/>
      <x:c r="C65" s="4" t="n"/>
      <x:c r="D65" s="4">
        <x:f>IFERROR(VLOOKUP(C65,'Prompt Library'!$A$2:$F$51,2,FALSE),"")</x:f>
      </x:c>
      <x:c r="E65" s="4">
        <x:f>IFERROR(VLOOKUP(C65,'Prompt Library'!$A$2:$F$51,3,FALSE),"")</x:f>
      </x:c>
      <x:c r="F65" s="4">
        <x:f>IFERROR(VLOOKUP(C65,'Prompt Library'!$A$2:$F$51,4,FALSE),"")</x:f>
      </x:c>
      <x:c r="G65" s="4">
        <x:f>IF(C65="","",ROW()-1)</x:f>
      </x:c>
      <x:c r="H65" s="4" t="n"/>
      <x:c r="I65" s="5" t="n"/>
      <x:c r="J65" s="4" t="n"/>
      <x:c r="K65" s="4" t="n"/>
      <x:c r="L65" s="4" t="n"/>
      <x:c r="M65" s="4" t="n"/>
      <x:c r="N65" s="4" t="n"/>
      <x:c r="O65" s="4" t="n"/>
      <x:c r="P65" s="4" t="n"/>
      <x:c r="Q65" s="4" t="n"/>
      <x:c r="R65" s="4" t="n"/>
      <x:c r="S65" s="4" t="n"/>
      <x:c r="T65" s="4" t="n"/>
      <x:c r="U65" s="4" t="n"/>
    </x:row>
    <x:row r="66" ht="60" customHeight="1">
      <x:c r="A66" s="4" t="n"/>
      <x:c r="B66" s="5" t="n"/>
      <x:c r="C66" s="4" t="n"/>
      <x:c r="D66" s="4">
        <x:f>IFERROR(VLOOKUP(C66,'Prompt Library'!$A$2:$F$51,2,FALSE),"")</x:f>
      </x:c>
      <x:c r="E66" s="4">
        <x:f>IFERROR(VLOOKUP(C66,'Prompt Library'!$A$2:$F$51,3,FALSE),"")</x:f>
      </x:c>
      <x:c r="F66" s="4">
        <x:f>IFERROR(VLOOKUP(C66,'Prompt Library'!$A$2:$F$51,4,FALSE),"")</x:f>
      </x:c>
      <x:c r="G66" s="4">
        <x:f>IF(C66="","",ROW()-1)</x:f>
      </x:c>
      <x:c r="H66" s="4" t="n"/>
      <x:c r="I66" s="5" t="n"/>
      <x:c r="J66" s="4" t="n"/>
      <x:c r="K66" s="4" t="n"/>
      <x:c r="L66" s="4" t="n"/>
      <x:c r="M66" s="4" t="n"/>
      <x:c r="N66" s="4" t="n"/>
      <x:c r="O66" s="4" t="n"/>
      <x:c r="P66" s="4" t="n"/>
      <x:c r="Q66" s="4" t="n"/>
      <x:c r="R66" s="4" t="n"/>
      <x:c r="S66" s="4" t="n"/>
      <x:c r="T66" s="4" t="n"/>
      <x:c r="U66" s="4" t="n"/>
    </x:row>
    <x:row r="67" ht="60" customHeight="1">
      <x:c r="A67" s="4" t="n"/>
      <x:c r="B67" s="5" t="n"/>
      <x:c r="C67" s="4" t="n"/>
      <x:c r="D67" s="4">
        <x:f>IFERROR(VLOOKUP(C67,'Prompt Library'!$A$2:$F$51,2,FALSE),"")</x:f>
      </x:c>
      <x:c r="E67" s="4">
        <x:f>IFERROR(VLOOKUP(C67,'Prompt Library'!$A$2:$F$51,3,FALSE),"")</x:f>
      </x:c>
      <x:c r="F67" s="4">
        <x:f>IFERROR(VLOOKUP(C67,'Prompt Library'!$A$2:$F$51,4,FALSE),"")</x:f>
      </x:c>
      <x:c r="G67" s="4">
        <x:f>IF(C67="","",ROW()-1)</x:f>
      </x:c>
      <x:c r="H67" s="4" t="n"/>
      <x:c r="I67" s="5" t="n"/>
      <x:c r="J67" s="4" t="n"/>
      <x:c r="K67" s="4" t="n"/>
      <x:c r="L67" s="4" t="n"/>
      <x:c r="M67" s="4" t="n"/>
      <x:c r="N67" s="4" t="n"/>
      <x:c r="O67" s="4" t="n"/>
      <x:c r="P67" s="4" t="n"/>
      <x:c r="Q67" s="4" t="n"/>
      <x:c r="R67" s="4" t="n"/>
      <x:c r="S67" s="4" t="n"/>
      <x:c r="T67" s="4" t="n"/>
      <x:c r="U67" s="4" t="n"/>
    </x:row>
    <x:row r="68" ht="60" customHeight="1">
      <x:c r="A68" s="4" t="n"/>
      <x:c r="B68" s="5" t="n"/>
      <x:c r="C68" s="4" t="n"/>
      <x:c r="D68" s="4">
        <x:f>IFERROR(VLOOKUP(C68,'Prompt Library'!$A$2:$F$51,2,FALSE),"")</x:f>
      </x:c>
      <x:c r="E68" s="4">
        <x:f>IFERROR(VLOOKUP(C68,'Prompt Library'!$A$2:$F$51,3,FALSE),"")</x:f>
      </x:c>
      <x:c r="F68" s="4">
        <x:f>IFERROR(VLOOKUP(C68,'Prompt Library'!$A$2:$F$51,4,FALSE),"")</x:f>
      </x:c>
      <x:c r="G68" s="4">
        <x:f>IF(C68="","",ROW()-1)</x:f>
      </x:c>
      <x:c r="H68" s="4" t="n"/>
      <x:c r="I68" s="5" t="n"/>
      <x:c r="J68" s="4" t="n"/>
      <x:c r="K68" s="4" t="n"/>
      <x:c r="L68" s="4" t="n"/>
      <x:c r="M68" s="4" t="n"/>
      <x:c r="N68" s="4" t="n"/>
      <x:c r="O68" s="4" t="n"/>
      <x:c r="P68" s="4" t="n"/>
      <x:c r="Q68" s="4" t="n"/>
      <x:c r="R68" s="4" t="n"/>
      <x:c r="S68" s="4" t="n"/>
      <x:c r="T68" s="4" t="n"/>
      <x:c r="U68" s="4" t="n"/>
    </x:row>
    <x:row r="69" ht="60" customHeight="1">
      <x:c r="A69" s="4" t="n"/>
      <x:c r="B69" s="5" t="n"/>
      <x:c r="C69" s="4" t="n"/>
      <x:c r="D69" s="4">
        <x:f>IFERROR(VLOOKUP(C69,'Prompt Library'!$A$2:$F$51,2,FALSE),"")</x:f>
      </x:c>
      <x:c r="E69" s="4">
        <x:f>IFERROR(VLOOKUP(C69,'Prompt Library'!$A$2:$F$51,3,FALSE),"")</x:f>
      </x:c>
      <x:c r="F69" s="4">
        <x:f>IFERROR(VLOOKUP(C69,'Prompt Library'!$A$2:$F$51,4,FALSE),"")</x:f>
      </x:c>
      <x:c r="G69" s="4">
        <x:f>IF(C69="","",ROW()-1)</x:f>
      </x:c>
      <x:c r="H69" s="4" t="n"/>
      <x:c r="I69" s="5" t="n"/>
      <x:c r="J69" s="4" t="n"/>
      <x:c r="K69" s="4" t="n"/>
      <x:c r="L69" s="4" t="n"/>
      <x:c r="M69" s="4" t="n"/>
      <x:c r="N69" s="4" t="n"/>
      <x:c r="O69" s="4" t="n"/>
      <x:c r="P69" s="4" t="n"/>
      <x:c r="Q69" s="4" t="n"/>
      <x:c r="R69" s="4" t="n"/>
      <x:c r="S69" s="4" t="n"/>
      <x:c r="T69" s="4" t="n"/>
      <x:c r="U69" s="4" t="n"/>
    </x:row>
    <x:row r="70" ht="60" customHeight="1">
      <x:c r="A70" s="4" t="n"/>
      <x:c r="B70" s="5" t="n"/>
      <x:c r="C70" s="4" t="n"/>
      <x:c r="D70" s="4">
        <x:f>IFERROR(VLOOKUP(C70,'Prompt Library'!$A$2:$F$51,2,FALSE),"")</x:f>
      </x:c>
      <x:c r="E70" s="4">
        <x:f>IFERROR(VLOOKUP(C70,'Prompt Library'!$A$2:$F$51,3,FALSE),"")</x:f>
      </x:c>
      <x:c r="F70" s="4">
        <x:f>IFERROR(VLOOKUP(C70,'Prompt Library'!$A$2:$F$51,4,FALSE),"")</x:f>
      </x:c>
      <x:c r="G70" s="4">
        <x:f>IF(C70="","",ROW()-1)</x:f>
      </x:c>
      <x:c r="H70" s="4" t="n"/>
      <x:c r="I70" s="5" t="n"/>
      <x:c r="J70" s="4" t="n"/>
      <x:c r="K70" s="4" t="n"/>
      <x:c r="L70" s="4" t="n"/>
      <x:c r="M70" s="4" t="n"/>
      <x:c r="N70" s="4" t="n"/>
      <x:c r="O70" s="4" t="n"/>
      <x:c r="P70" s="4" t="n"/>
      <x:c r="Q70" s="4" t="n"/>
      <x:c r="R70" s="4" t="n"/>
      <x:c r="S70" s="4" t="n"/>
      <x:c r="T70" s="4" t="n"/>
      <x:c r="U70" s="4" t="n"/>
    </x:row>
    <x:row r="71" ht="60" customHeight="1">
      <x:c r="A71" s="4" t="n"/>
      <x:c r="B71" s="5" t="n"/>
      <x:c r="C71" s="4" t="n"/>
      <x:c r="D71" s="4">
        <x:f>IFERROR(VLOOKUP(C71,'Prompt Library'!$A$2:$F$51,2,FALSE),"")</x:f>
      </x:c>
      <x:c r="E71" s="4">
        <x:f>IFERROR(VLOOKUP(C71,'Prompt Library'!$A$2:$F$51,3,FALSE),"")</x:f>
      </x:c>
      <x:c r="F71" s="4">
        <x:f>IFERROR(VLOOKUP(C71,'Prompt Library'!$A$2:$F$51,4,FALSE),"")</x:f>
      </x:c>
      <x:c r="G71" s="4">
        <x:f>IF(C71="","",ROW()-1)</x:f>
      </x:c>
      <x:c r="H71" s="4" t="n"/>
      <x:c r="I71" s="5" t="n"/>
      <x:c r="J71" s="4" t="n"/>
      <x:c r="K71" s="4" t="n"/>
      <x:c r="L71" s="4" t="n"/>
      <x:c r="M71" s="4" t="n"/>
      <x:c r="N71" s="4" t="n"/>
      <x:c r="O71" s="4" t="n"/>
      <x:c r="P71" s="4" t="n"/>
      <x:c r="Q71" s="4" t="n"/>
      <x:c r="R71" s="4" t="n"/>
      <x:c r="S71" s="4" t="n"/>
      <x:c r="T71" s="4" t="n"/>
      <x:c r="U71" s="4" t="n"/>
    </x:row>
    <x:row r="72" ht="60" customHeight="1">
      <x:c r="A72" s="4" t="n"/>
      <x:c r="B72" s="5" t="n"/>
      <x:c r="C72" s="4" t="n"/>
      <x:c r="D72" s="4">
        <x:f>IFERROR(VLOOKUP(C72,'Prompt Library'!$A$2:$F$51,2,FALSE),"")</x:f>
      </x:c>
      <x:c r="E72" s="4">
        <x:f>IFERROR(VLOOKUP(C72,'Prompt Library'!$A$2:$F$51,3,FALSE),"")</x:f>
      </x:c>
      <x:c r="F72" s="4">
        <x:f>IFERROR(VLOOKUP(C72,'Prompt Library'!$A$2:$F$51,4,FALSE),"")</x:f>
      </x:c>
      <x:c r="G72" s="4">
        <x:f>IF(C72="","",ROW()-1)</x:f>
      </x:c>
      <x:c r="H72" s="4" t="n"/>
      <x:c r="I72" s="5" t="n"/>
      <x:c r="J72" s="4" t="n"/>
      <x:c r="K72" s="4" t="n"/>
      <x:c r="L72" s="4" t="n"/>
      <x:c r="M72" s="4" t="n"/>
      <x:c r="N72" s="4" t="n"/>
      <x:c r="O72" s="4" t="n"/>
      <x:c r="P72" s="4" t="n"/>
      <x:c r="Q72" s="4" t="n"/>
      <x:c r="R72" s="4" t="n"/>
      <x:c r="S72" s="4" t="n"/>
      <x:c r="T72" s="4" t="n"/>
      <x:c r="U72" s="4" t="n"/>
    </x:row>
    <x:row r="73" ht="60" customHeight="1">
      <x:c r="A73" s="4" t="n"/>
      <x:c r="B73" s="5" t="n"/>
      <x:c r="C73" s="4" t="n"/>
      <x:c r="D73" s="4">
        <x:f>IFERROR(VLOOKUP(C73,'Prompt Library'!$A$2:$F$51,2,FALSE),"")</x:f>
      </x:c>
      <x:c r="E73" s="4">
        <x:f>IFERROR(VLOOKUP(C73,'Prompt Library'!$A$2:$F$51,3,FALSE),"")</x:f>
      </x:c>
      <x:c r="F73" s="4">
        <x:f>IFERROR(VLOOKUP(C73,'Prompt Library'!$A$2:$F$51,4,FALSE),"")</x:f>
      </x:c>
      <x:c r="G73" s="4">
        <x:f>IF(C73="","",ROW()-1)</x:f>
      </x:c>
      <x:c r="H73" s="4" t="n"/>
      <x:c r="I73" s="5" t="n"/>
      <x:c r="J73" s="4" t="n"/>
      <x:c r="K73" s="4" t="n"/>
      <x:c r="L73" s="4" t="n"/>
      <x:c r="M73" s="4" t="n"/>
      <x:c r="N73" s="4" t="n"/>
      <x:c r="O73" s="4" t="n"/>
      <x:c r="P73" s="4" t="n"/>
      <x:c r="Q73" s="4" t="n"/>
      <x:c r="R73" s="4" t="n"/>
      <x:c r="S73" s="4" t="n"/>
      <x:c r="T73" s="4" t="n"/>
      <x:c r="U73" s="4" t="n"/>
    </x:row>
    <x:row r="74" ht="60" customHeight="1">
      <x:c r="A74" s="4" t="n"/>
      <x:c r="B74" s="5" t="n"/>
      <x:c r="C74" s="4" t="n"/>
      <x:c r="D74" s="4">
        <x:f>IFERROR(VLOOKUP(C74,'Prompt Library'!$A$2:$F$51,2,FALSE),"")</x:f>
      </x:c>
      <x:c r="E74" s="4">
        <x:f>IFERROR(VLOOKUP(C74,'Prompt Library'!$A$2:$F$51,3,FALSE),"")</x:f>
      </x:c>
      <x:c r="F74" s="4">
        <x:f>IFERROR(VLOOKUP(C74,'Prompt Library'!$A$2:$F$51,4,FALSE),"")</x:f>
      </x:c>
      <x:c r="G74" s="4">
        <x:f>IF(C74="","",ROW()-1)</x:f>
      </x:c>
      <x:c r="H74" s="4" t="n"/>
      <x:c r="I74" s="5" t="n"/>
      <x:c r="J74" s="4" t="n"/>
      <x:c r="K74" s="4" t="n"/>
      <x:c r="L74" s="4" t="n"/>
      <x:c r="M74" s="4" t="n"/>
      <x:c r="N74" s="4" t="n"/>
      <x:c r="O74" s="4" t="n"/>
      <x:c r="P74" s="4" t="n"/>
      <x:c r="Q74" s="4" t="n"/>
      <x:c r="R74" s="4" t="n"/>
      <x:c r="S74" s="4" t="n"/>
      <x:c r="T74" s="4" t="n"/>
      <x:c r="U74" s="4" t="n"/>
    </x:row>
    <x:row r="75" ht="60" customHeight="1">
      <x:c r="A75" s="4" t="n"/>
      <x:c r="B75" s="5" t="n"/>
      <x:c r="C75" s="4" t="n"/>
      <x:c r="D75" s="4">
        <x:f>IFERROR(VLOOKUP(C75,'Prompt Library'!$A$2:$F$51,2,FALSE),"")</x:f>
      </x:c>
      <x:c r="E75" s="4">
        <x:f>IFERROR(VLOOKUP(C75,'Prompt Library'!$A$2:$F$51,3,FALSE),"")</x:f>
      </x:c>
      <x:c r="F75" s="4">
        <x:f>IFERROR(VLOOKUP(C75,'Prompt Library'!$A$2:$F$51,4,FALSE),"")</x:f>
      </x:c>
      <x:c r="G75" s="4">
        <x:f>IF(C75="","",ROW()-1)</x:f>
      </x:c>
      <x:c r="H75" s="4" t="n"/>
      <x:c r="I75" s="5" t="n"/>
      <x:c r="J75" s="4" t="n"/>
      <x:c r="K75" s="4" t="n"/>
      <x:c r="L75" s="4" t="n"/>
      <x:c r="M75" s="4" t="n"/>
      <x:c r="N75" s="4" t="n"/>
      <x:c r="O75" s="4" t="n"/>
      <x:c r="P75" s="4" t="n"/>
      <x:c r="Q75" s="4" t="n"/>
      <x:c r="R75" s="4" t="n"/>
      <x:c r="S75" s="4" t="n"/>
      <x:c r="T75" s="4" t="n"/>
      <x:c r="U75" s="4" t="n"/>
    </x:row>
    <x:row r="76" ht="60" customHeight="1">
      <x:c r="A76" s="4" t="n"/>
      <x:c r="B76" s="5" t="n"/>
      <x:c r="C76" s="4" t="n"/>
      <x:c r="D76" s="4">
        <x:f>IFERROR(VLOOKUP(C76,'Prompt Library'!$A$2:$F$51,2,FALSE),"")</x:f>
      </x:c>
      <x:c r="E76" s="4">
        <x:f>IFERROR(VLOOKUP(C76,'Prompt Library'!$A$2:$F$51,3,FALSE),"")</x:f>
      </x:c>
      <x:c r="F76" s="4">
        <x:f>IFERROR(VLOOKUP(C76,'Prompt Library'!$A$2:$F$51,4,FALSE),"")</x:f>
      </x:c>
      <x:c r="G76" s="4">
        <x:f>IF(C76="","",ROW()-1)</x:f>
      </x:c>
      <x:c r="H76" s="4" t="n"/>
      <x:c r="I76" s="5" t="n"/>
      <x:c r="J76" s="4" t="n"/>
      <x:c r="K76" s="4" t="n"/>
      <x:c r="L76" s="4" t="n"/>
      <x:c r="M76" s="4" t="n"/>
      <x:c r="N76" s="4" t="n"/>
      <x:c r="O76" s="4" t="n"/>
      <x:c r="P76" s="4" t="n"/>
      <x:c r="Q76" s="4" t="n"/>
      <x:c r="R76" s="4" t="n"/>
      <x:c r="S76" s="4" t="n"/>
      <x:c r="T76" s="4" t="n"/>
      <x:c r="U76" s="4" t="n"/>
    </x:row>
    <x:row r="77" ht="60" customHeight="1">
      <x:c r="A77" s="4" t="n"/>
      <x:c r="B77" s="5" t="n"/>
      <x:c r="C77" s="4" t="n"/>
      <x:c r="D77" s="4">
        <x:f>IFERROR(VLOOKUP(C77,'Prompt Library'!$A$2:$F$51,2,FALSE),"")</x:f>
      </x:c>
      <x:c r="E77" s="4">
        <x:f>IFERROR(VLOOKUP(C77,'Prompt Library'!$A$2:$F$51,3,FALSE),"")</x:f>
      </x:c>
      <x:c r="F77" s="4">
        <x:f>IFERROR(VLOOKUP(C77,'Prompt Library'!$A$2:$F$51,4,FALSE),"")</x:f>
      </x:c>
      <x:c r="G77" s="4">
        <x:f>IF(C77="","",ROW()-1)</x:f>
      </x:c>
      <x:c r="H77" s="4" t="n"/>
      <x:c r="I77" s="5" t="n"/>
      <x:c r="J77" s="4" t="n"/>
      <x:c r="K77" s="4" t="n"/>
      <x:c r="L77" s="4" t="n"/>
      <x:c r="M77" s="4" t="n"/>
      <x:c r="N77" s="4" t="n"/>
      <x:c r="O77" s="4" t="n"/>
      <x:c r="P77" s="4" t="n"/>
      <x:c r="Q77" s="4" t="n"/>
      <x:c r="R77" s="4" t="n"/>
      <x:c r="S77" s="4" t="n"/>
      <x:c r="T77" s="4" t="n"/>
      <x:c r="U77" s="4" t="n"/>
    </x:row>
    <x:row r="78" ht="60" customHeight="1">
      <x:c r="A78" s="4" t="n"/>
      <x:c r="B78" s="5" t="n"/>
      <x:c r="C78" s="4" t="n"/>
      <x:c r="D78" s="4">
        <x:f>IFERROR(VLOOKUP(C78,'Prompt Library'!$A$2:$F$51,2,FALSE),"")</x:f>
      </x:c>
      <x:c r="E78" s="4">
        <x:f>IFERROR(VLOOKUP(C78,'Prompt Library'!$A$2:$F$51,3,FALSE),"")</x:f>
      </x:c>
      <x:c r="F78" s="4">
        <x:f>IFERROR(VLOOKUP(C78,'Prompt Library'!$A$2:$F$51,4,FALSE),"")</x:f>
      </x:c>
      <x:c r="G78" s="4">
        <x:f>IF(C78="","",ROW()-1)</x:f>
      </x:c>
      <x:c r="H78" s="4" t="n"/>
      <x:c r="I78" s="5" t="n"/>
      <x:c r="J78" s="4" t="n"/>
      <x:c r="K78" s="4" t="n"/>
      <x:c r="L78" s="4" t="n"/>
      <x:c r="M78" s="4" t="n"/>
      <x:c r="N78" s="4" t="n"/>
      <x:c r="O78" s="4" t="n"/>
      <x:c r="P78" s="4" t="n"/>
      <x:c r="Q78" s="4" t="n"/>
      <x:c r="R78" s="4" t="n"/>
      <x:c r="S78" s="4" t="n"/>
      <x:c r="T78" s="4" t="n"/>
      <x:c r="U78" s="4" t="n"/>
    </x:row>
    <x:row r="79" ht="60" customHeight="1">
      <x:c r="A79" s="4" t="n"/>
      <x:c r="B79" s="5" t="n"/>
      <x:c r="C79" s="4" t="n"/>
      <x:c r="D79" s="4">
        <x:f>IFERROR(VLOOKUP(C79,'Prompt Library'!$A$2:$F$51,2,FALSE),"")</x:f>
      </x:c>
      <x:c r="E79" s="4">
        <x:f>IFERROR(VLOOKUP(C79,'Prompt Library'!$A$2:$F$51,3,FALSE),"")</x:f>
      </x:c>
      <x:c r="F79" s="4">
        <x:f>IFERROR(VLOOKUP(C79,'Prompt Library'!$A$2:$F$51,4,FALSE),"")</x:f>
      </x:c>
      <x:c r="G79" s="4">
        <x:f>IF(C79="","",ROW()-1)</x:f>
      </x:c>
      <x:c r="H79" s="4" t="n"/>
      <x:c r="I79" s="5" t="n"/>
      <x:c r="J79" s="4" t="n"/>
      <x:c r="K79" s="4" t="n"/>
      <x:c r="L79" s="4" t="n"/>
      <x:c r="M79" s="4" t="n"/>
      <x:c r="N79" s="4" t="n"/>
      <x:c r="O79" s="4" t="n"/>
      <x:c r="P79" s="4" t="n"/>
      <x:c r="Q79" s="4" t="n"/>
      <x:c r="R79" s="4" t="n"/>
      <x:c r="S79" s="4" t="n"/>
      <x:c r="T79" s="4" t="n"/>
      <x:c r="U79" s="4" t="n"/>
    </x:row>
    <x:row r="80" ht="60" customHeight="1">
      <x:c r="A80" s="4" t="n"/>
      <x:c r="B80" s="5" t="n"/>
      <x:c r="C80" s="4" t="n"/>
      <x:c r="D80" s="4">
        <x:f>IFERROR(VLOOKUP(C80,'Prompt Library'!$A$2:$F$51,2,FALSE),"")</x:f>
      </x:c>
      <x:c r="E80" s="4">
        <x:f>IFERROR(VLOOKUP(C80,'Prompt Library'!$A$2:$F$51,3,FALSE),"")</x:f>
      </x:c>
      <x:c r="F80" s="4">
        <x:f>IFERROR(VLOOKUP(C80,'Prompt Library'!$A$2:$F$51,4,FALSE),"")</x:f>
      </x:c>
      <x:c r="G80" s="4">
        <x:f>IF(C80="","",ROW()-1)</x:f>
      </x:c>
      <x:c r="H80" s="4" t="n"/>
      <x:c r="I80" s="5" t="n"/>
      <x:c r="J80" s="4" t="n"/>
      <x:c r="K80" s="4" t="n"/>
      <x:c r="L80" s="4" t="n"/>
      <x:c r="M80" s="4" t="n"/>
      <x:c r="N80" s="4" t="n"/>
      <x:c r="O80" s="4" t="n"/>
      <x:c r="P80" s="4" t="n"/>
      <x:c r="Q80" s="4" t="n"/>
      <x:c r="R80" s="4" t="n"/>
      <x:c r="S80" s="4" t="n"/>
      <x:c r="T80" s="4" t="n"/>
      <x:c r="U80" s="4" t="n"/>
    </x:row>
  </x:sheetData>
  <x:conditionalFormatting sqref="A2:U80">
    <x:cfRule type="expression" dxfId="0" priority="1">
      <x:formula>AND($H2&lt;&gt;"",$T2="")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customWidth="1"/>
  </x:cols>
  <x:sheetData>
    <x:row r="1">
      <x:c r="A1" s="6" t="inlineStr">
        <x:is>
          <x:t xml:space="preserve">Sectors</x:t>
        </x:is>
      </x:c>
    </x:row>
    <x:row r="2">
      <x:c r="A2" s="7" t="inlineStr">
        <x:is>
          <x:t xml:space="preserve">AI/Data in Financial Services</x:t>
        </x:is>
      </x:c>
    </x:row>
    <x:row r="3">
      <x:c r="A3" s="7" t="inlineStr">
        <x:is>
          <x:t xml:space="preserve">Asset Management</x:t>
        </x:is>
      </x:c>
    </x:row>
    <x:row r="4">
      <x:c r="A4" s="7" t="inlineStr">
        <x:is>
          <x:t xml:space="preserve">Banking / Compliance</x:t>
        </x:is>
      </x:c>
    </x:row>
    <x:row r="5">
      <x:c r="A5" s="7" t="inlineStr">
        <x:is>
          <x:t xml:space="preserve">Corporates / Consulting</x:t>
        </x:is>
      </x:c>
    </x:row>
    <x:row r="6">
      <x:c r="A6" s="7" t="inlineStr">
        <x:is>
          <x:t xml:space="preserve">Private Markets</x:t>
        </x:is>
      </x:c>
    </x:row>
  </x:sheetData>
  <x:pageMargins left="0.7" right="0.7" top="0.75" bottom="0.75" header="0.3" footer="0.3"/>
</x:worksheet>
</file>