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nchmark_URLs" sheetId="1" r:id="rId4"/>
    <sheet state="visible" name="Crawl_Results" sheetId="2" r:id="rId5"/>
    <sheet state="visible" name="Weights" sheetId="3" r:id="rId6"/>
    <sheet state="visible" name="Column_Guide" sheetId="4" r:id="rId7"/>
    <sheet state="visible" name="How_to_Use" sheetId="5" r:id="rId8"/>
    <sheet state="visible" name="Dashboard" sheetId="6" r:id="rId9"/>
  </sheets>
  <definedNames/>
  <calcPr/>
</workbook>
</file>

<file path=xl/sharedStrings.xml><?xml version="1.0" encoding="utf-8"?>
<sst xmlns="http://schemas.openxmlformats.org/spreadsheetml/2006/main" count="851" uniqueCount="363">
  <si>
    <t>url_id</t>
  </si>
  <si>
    <t>category</t>
  </si>
  <si>
    <t>subcategory</t>
  </si>
  <si>
    <t>url</t>
  </si>
  <si>
    <t>domain</t>
  </si>
  <si>
    <t>expected_content_type</t>
  </si>
  <si>
    <t>expected_js_required</t>
  </si>
  <si>
    <t>expected_tables</t>
  </si>
  <si>
    <t>expected_pagination</t>
  </si>
  <si>
    <t>expected_date_present</t>
  </si>
  <si>
    <t>expected_min_chars</t>
  </si>
  <si>
    <t>notes</t>
  </si>
  <si>
    <t>U001</t>
  </si>
  <si>
    <t>Static_HTML</t>
  </si>
  <si>
    <t>Regulator overview</t>
  </si>
  <si>
    <t>https://www.federalreserve.gov/supervisionreg.htm</t>
  </si>
  <si>
    <t>www.federalreserve.gov</t>
  </si>
  <si>
    <t>html</t>
  </si>
  <si>
    <t>N</t>
  </si>
  <si>
    <t>Y</t>
  </si>
  <si>
    <t>Fed supervision &amp; regulation hub; good main-content test</t>
  </si>
  <si>
    <t>U002</t>
  </si>
  <si>
    <t>Manual index</t>
  </si>
  <si>
    <t>https://www.occ.treas.gov/publications-and-resources/publications/comptrollers-handbook/index-comptrollers-handbook.html</t>
  </si>
  <si>
    <t>www.occ.treas.gov</t>
  </si>
  <si>
    <t>OCC handbook index; headings + link lists</t>
  </si>
  <si>
    <t>U003</t>
  </si>
  <si>
    <t>Manual hub</t>
  </si>
  <si>
    <t>https://www.fdic.gov/bank-examinations/examination-manuals</t>
  </si>
  <si>
    <t>www.fdic.gov</t>
  </si>
  <si>
    <t>FDIC examination manuals hub</t>
  </si>
  <si>
    <t>U004</t>
  </si>
  <si>
    <t>Table_Heavy</t>
  </si>
  <si>
    <t>Regulatory datasets</t>
  </si>
  <si>
    <t>https://www.sec.gov/data-research/sec-markets-data/form-n-port-data-sets</t>
  </si>
  <si>
    <t>www.sec.gov</t>
  </si>
  <si>
    <t>SEC datasets page with tables/links</t>
  </si>
  <si>
    <t>U005</t>
  </si>
  <si>
    <t>Standards hub</t>
  </si>
  <si>
    <t>https://www.bis.org/baselframework/</t>
  </si>
  <si>
    <t>www.bis.org</t>
  </si>
  <si>
    <t>BIS Basel Framework hub</t>
  </si>
  <si>
    <t>U006</t>
  </si>
  <si>
    <t>Industry association</t>
  </si>
  <si>
    <t>https://www.ici.org/</t>
  </si>
  <si>
    <t>www.ici.org</t>
  </si>
  <si>
    <t>ICI site (may use JS); tests navigation noise</t>
  </si>
  <si>
    <t>U007</t>
  </si>
  <si>
    <t>Research hub</t>
  </si>
  <si>
    <t>https://www.cfainstitute.org/en/research</t>
  </si>
  <si>
    <t>www.cfainstitute.org</t>
  </si>
  <si>
    <t>CFA Institute research landing; structured sections</t>
  </si>
  <si>
    <t>U008</t>
  </si>
  <si>
    <t>Pagination</t>
  </si>
  <si>
    <t>Regulator listings</t>
  </si>
  <si>
    <t>https://www.federalreserve.gov/newsevents/pressreleases.htm</t>
  </si>
  <si>
    <t>Fed press releases listing (year links)</t>
  </si>
  <si>
    <t>U009</t>
  </si>
  <si>
    <t>https://www.federalreserve.gov/newsevents/pressreleases/2025-press.htm</t>
  </si>
  <si>
    <t>Fed 2025 press release list; long page</t>
  </si>
  <si>
    <t>U010</t>
  </si>
  <si>
    <t>https://www.sec.gov/newsroom/press-releases?page=0</t>
  </si>
  <si>
    <t>SEC press releases page 0; pagination param</t>
  </si>
  <si>
    <t>U011</t>
  </si>
  <si>
    <t>https://www.sec.gov/newsroom/press-releases?page=2</t>
  </si>
  <si>
    <t>SEC press releases page 2; pagination param</t>
  </si>
  <si>
    <t>U012</t>
  </si>
  <si>
    <t>Data portal</t>
  </si>
  <si>
    <t>https://fred.stlouisfed.org/series/GDP</t>
  </si>
  <si>
    <t>fred.stlouisfed.org</t>
  </si>
  <si>
    <t>FRED series page with chart + data table</t>
  </si>
  <si>
    <t>U013</t>
  </si>
  <si>
    <t>https://data.worldbank.org/indicator/SP.POP.TOTL</t>
  </si>
  <si>
    <t>data.worldbank.org</t>
  </si>
  <si>
    <t>World Bank indicator page; JS + tables</t>
  </si>
  <si>
    <t>U014</t>
  </si>
  <si>
    <t>Large table</t>
  </si>
  <si>
    <t>https://en.wikipedia.org/wiki/List_of_S%26P_500_companies</t>
  </si>
  <si>
    <t>en.wikipedia.org</t>
  </si>
  <si>
    <t>Large table + sections; good table extraction</t>
  </si>
  <si>
    <t>U015</t>
  </si>
  <si>
    <t>Manual ToC</t>
  </si>
  <si>
    <t>https://www.fdic.gov/risk-management-manual-examination-policies</t>
  </si>
  <si>
    <t>FDIC risk management manual landing with ToC</t>
  </si>
  <si>
    <t>U016</t>
  </si>
  <si>
    <t>JS_Heavy</t>
  </si>
  <si>
    <t>Docs site</t>
  </si>
  <si>
    <t>https://react.dev/learn</t>
  </si>
  <si>
    <t>react.dev</t>
  </si>
  <si>
    <t>React docs; JS-heavy navigation</t>
  </si>
  <si>
    <t>U017</t>
  </si>
  <si>
    <t>https://nextjs.org/docs</t>
  </si>
  <si>
    <t>nextjs.org</t>
  </si>
  <si>
    <t>Next.js docs; JS-heavy</t>
  </si>
  <si>
    <t>U018</t>
  </si>
  <si>
    <t>https://learn.microsoft.com/en-us/azure/architecture/</t>
  </si>
  <si>
    <t>learn.microsoft.com</t>
  </si>
  <si>
    <t>Microsoft Learn; JS and heavy DOM</t>
  </si>
  <si>
    <t>U019</t>
  </si>
  <si>
    <t>https://cloud.google.com/architecture</t>
  </si>
  <si>
    <t>cloud.google.com</t>
  </si>
  <si>
    <t>Google Cloud architecture landing; JS</t>
  </si>
  <si>
    <t>U020</t>
  </si>
  <si>
    <t>https://aws.amazon.com/what-is/data-lake/</t>
  </si>
  <si>
    <t>aws.amazon.com</t>
  </si>
  <si>
    <t>AWS explainer; JS &amp; marketing noise</t>
  </si>
  <si>
    <t>U021</t>
  </si>
  <si>
    <t>Product learn</t>
  </si>
  <si>
    <t>https://www.databricks.com/learn</t>
  </si>
  <si>
    <t>www.databricks.com</t>
  </si>
  <si>
    <t>Databricks learn; JS, cards</t>
  </si>
  <si>
    <t>U022</t>
  </si>
  <si>
    <t>Product page</t>
  </si>
  <si>
    <t>https://www.snowflake.com/en/solutions/data-lake/</t>
  </si>
  <si>
    <t>www.snowflake.com</t>
  </si>
  <si>
    <t>Snowflake solution page; JS</t>
  </si>
  <si>
    <t>U023</t>
  </si>
  <si>
    <t>https://www.palantir.com/platforms/aip/</t>
  </si>
  <si>
    <t>www.palantir.com</t>
  </si>
  <si>
    <t>Palantir AIP page; JS &amp; media</t>
  </si>
  <si>
    <t>U024</t>
  </si>
  <si>
    <t>PDF</t>
  </si>
  <si>
    <t>Regulatory guidance</t>
  </si>
  <si>
    <t>https://www.federalreserve.gov/supervisionreg/srletters/sr1107.pdf</t>
  </si>
  <si>
    <t>pdf</t>
  </si>
  <si>
    <t>Fed SR 11-7 PDF; model risk management</t>
  </si>
  <si>
    <t>U025</t>
  </si>
  <si>
    <t>Exam manual</t>
  </si>
  <si>
    <t>https://www.fdic.gov/resources/supervision-and-examinations/examination-policies-manual/risk-management-manual-complete.pdf</t>
  </si>
  <si>
    <t>FDIC risk manual complete PDF</t>
  </si>
  <si>
    <t>U026</t>
  </si>
  <si>
    <t>Handbook booklet</t>
  </si>
  <si>
    <t>https://www.occ.gov/publications-and-resources/publications/comptrollers-handbook/files/compliance-mgmt-systems/pub-ch-compliance-management-systems.pdf</t>
  </si>
  <si>
    <t>www.occ.gov</t>
  </si>
  <si>
    <t>OCC compliance management systems PDF</t>
  </si>
  <si>
    <t>U027</t>
  </si>
  <si>
    <t>Form reference</t>
  </si>
  <si>
    <t>https://www.sec.gov/files/formn-port.pdf</t>
  </si>
  <si>
    <t>SEC Form N-PORT reference PDF</t>
  </si>
  <si>
    <t>U028</t>
  </si>
  <si>
    <t>Final rule</t>
  </si>
  <si>
    <t>https://www.sec.gov/files/rules/final/2025/ic-35538.pdf</t>
  </si>
  <si>
    <t>SEC final rule PDF (Form N-PORT/N-CEN)</t>
  </si>
  <si>
    <t>U029</t>
  </si>
  <si>
    <t>Standards compendium</t>
  </si>
  <si>
    <t>https://www.bis.org/baselframework/BaselFramework.pdf</t>
  </si>
  <si>
    <t>BIS Basel Framework PDF</t>
  </si>
  <si>
    <t>U030</t>
  </si>
  <si>
    <t>Industry outlook</t>
  </si>
  <si>
    <t>https://www.brookfield.com/sites/default/files/documents/Brookfield%202026%20Investment%20Outlook.pdf</t>
  </si>
  <si>
    <t>www.brookfield.com</t>
  </si>
  <si>
    <t>Brookfield outlook PDF; charts/figures</t>
  </si>
  <si>
    <t>U031</t>
  </si>
  <si>
    <t>https://www.ffiec.gov/sites/default/files/media/press-releases/2020/2020-april-15-bsa-aml-exam-manual.pdf</t>
  </si>
  <si>
    <t>www.ffiec.gov</t>
  </si>
  <si>
    <t>FFIEC BSA/AML manual PDF</t>
  </si>
  <si>
    <t>U032</t>
  </si>
  <si>
    <t>Web app manual</t>
  </si>
  <si>
    <t>https://bsaaml.ffiec.gov/manual</t>
  </si>
  <si>
    <t>bsaaml.ffiec.gov</t>
  </si>
  <si>
    <t>FFIEC BSA/AML InfoBase; JS app</t>
  </si>
  <si>
    <t>U033</t>
  </si>
  <si>
    <t>Redirect</t>
  </si>
  <si>
    <t>HTTP→HTTPS</t>
  </si>
  <si>
    <t>http://www.sec.gov</t>
  </si>
  <si>
    <t>Redirect test (http to https)</t>
  </si>
  <si>
    <t>U034</t>
  </si>
  <si>
    <t>http://www.fdic.gov</t>
  </si>
  <si>
    <t>U035</t>
  </si>
  <si>
    <t>No www</t>
  </si>
  <si>
    <t>https://sec.gov</t>
  </si>
  <si>
    <t>sec.gov</t>
  </si>
  <si>
    <t>Redirect/canonical test (sec.gov → www.sec.gov)</t>
  </si>
  <si>
    <t>U036</t>
  </si>
  <si>
    <t>Hard</t>
  </si>
  <si>
    <t>Consulting insights</t>
  </si>
  <si>
    <t>https://www.bcg.com/capabilities/digital-technology-data/insights</t>
  </si>
  <si>
    <t>www.bcg.com</t>
  </si>
  <si>
    <t>BCG insights hub; JS + lists</t>
  </si>
  <si>
    <t>U037</t>
  </si>
  <si>
    <t>Consulting explainer</t>
  </si>
  <si>
    <t>https://www.mckinsey.com/featured-insights/mckinsey-explainers/what-is-digital-transformation</t>
  </si>
  <si>
    <t>www.mckinsey.com</t>
  </si>
  <si>
    <t>McKinsey explainer; may block bots</t>
  </si>
  <si>
    <t>U038</t>
  </si>
  <si>
    <t>Consulting article</t>
  </si>
  <si>
    <t>https://www.mckinsey.com/capabilities/people-and-organizational-performance/our-insights/how-to-get-your-operating-model-transformation-back-on-track</t>
  </si>
  <si>
    <t>McKinsey article; bot/consent handling</t>
  </si>
  <si>
    <t>U039</t>
  </si>
  <si>
    <t>BoE stability</t>
  </si>
  <si>
    <t>https://www.bankofengland.co.uk/financial-stability/boe-system-wide-exploratory-scenario-exercise/boe-private-markets-swes</t>
  </si>
  <si>
    <t>www.bankofengland.co.uk</t>
  </si>
  <si>
    <t>Bank of England SWES page; good for main content</t>
  </si>
  <si>
    <t>U040</t>
  </si>
  <si>
    <t>Consulting services</t>
  </si>
  <si>
    <t>https://www.accenture.com/us-en/services/cloud/modernization-services</t>
  </si>
  <si>
    <t>www.accenture.com</t>
  </si>
  <si>
    <t>Accenture services page; JS and marketing noise</t>
  </si>
  <si>
    <t>U041</t>
  </si>
  <si>
    <t>https://www.bain.com/insights/management-tools-digital-transformation/</t>
  </si>
  <si>
    <t>www.bain.com</t>
  </si>
  <si>
    <t>Bain explainer; headings + lists</t>
  </si>
  <si>
    <t>U042</t>
  </si>
  <si>
    <t>Consulting POV</t>
  </si>
  <si>
    <t>https://www.accenture.com/content/dam/accenture/final/a-com-migration/pdf/pdf-155/accenture-cloud-data-migration-pov-final.pdf</t>
  </si>
  <si>
    <t>Accenture cloud data migration POV PDF</t>
  </si>
  <si>
    <t>U043</t>
  </si>
  <si>
    <t>JSON_API</t>
  </si>
  <si>
    <t>World Bank API</t>
  </si>
  <si>
    <t>https://search.worldbank.org/api/v2/news?format=json&amp;rows=20&amp;fct=displayconttype_exact,topic_exact,lang_exact,count_exact,countcode_exact,admreg_exact&amp;src=cq55&amp;apilang=en&amp;lang_exact=English&amp;displayconttype_exact=Press%20Release&amp;os=0</t>
  </si>
  <si>
    <t>search.worldbank.org</t>
  </si>
  <si>
    <t>json</t>
  </si>
  <si>
    <t>World Bank JSON endpoint; API crawling</t>
  </si>
  <si>
    <t>U044</t>
  </si>
  <si>
    <t>https://search.worldbank.org/api/v2/news?format=json&amp;rows=20&amp;fct=displayconttype_exact,topic_exact,lang_exact,count_exact,countcode_exact,admreg_exact&amp;src=cq55&amp;apilang=en&amp;lang_exact=English&amp;displayconttype_exact=Press%20Release&amp;os=20</t>
  </si>
  <si>
    <t>World Bank JSON endpoint; pagination os=20</t>
  </si>
  <si>
    <t>U045</t>
  </si>
  <si>
    <t>IMF press briefing</t>
  </si>
  <si>
    <t>https://www.imf.org/en/news/articles/2025/12/23/tr-12232025-sri-lanka-press-briefing-on-imf-approval-for-request-for-rapid-financing-instrument</t>
  </si>
  <si>
    <t>www.imf.org</t>
  </si>
  <si>
    <t>IMF article; long transcript; good text extraction</t>
  </si>
  <si>
    <t>run_id</t>
  </si>
  <si>
    <t>run_date</t>
  </si>
  <si>
    <t>tool</t>
  </si>
  <si>
    <t>prompt_id</t>
  </si>
  <si>
    <t>final_url</t>
  </si>
  <si>
    <t>http_status</t>
  </si>
  <si>
    <t>fetch_success_1_0</t>
  </si>
  <si>
    <t>js_rendered_1_0</t>
  </si>
  <si>
    <t>main_content_chars (~ approx)</t>
  </si>
  <si>
    <t>full_content_chars</t>
  </si>
  <si>
    <t>noise_chars</t>
  </si>
  <si>
    <t>title_present_1_0</t>
  </si>
  <si>
    <t>date_present_1_0</t>
  </si>
  <si>
    <t>author_present_1_0</t>
  </si>
  <si>
    <t>outbound_links_count</t>
  </si>
  <si>
    <t>pdf_pages_parsed</t>
  </si>
  <si>
    <t>latency_seconds</t>
  </si>
  <si>
    <t>credits_used</t>
  </si>
  <si>
    <t>error_type</t>
  </si>
  <si>
    <t>noise_estimate</t>
  </si>
  <si>
    <t>meta_hit_rate</t>
  </si>
  <si>
    <t>content_ok_1_0</t>
  </si>
  <si>
    <t>pdf_ok_1_0</t>
  </si>
  <si>
    <t>js_ok_1_0</t>
  </si>
  <si>
    <t>quality_score</t>
  </si>
  <si>
    <t>efficiency_score</t>
  </si>
  <si>
    <t>quality_score_reasons</t>
  </si>
  <si>
    <t>Serper</t>
  </si>
  <si>
    <t>(content + date + pagination expectations miss)</t>
  </si>
  <si>
    <t>In the case of React docs, the content extracted was long, but on the Microsoft Learn hub, it is coming out short—the tool is likely only picking up the 'main content,' or it's missing JavaScript rendering/section expansion.</t>
  </si>
  <si>
    <t>PDF parse OK; content way above min chars; date signals present; links present</t>
  </si>
  <si>
    <t>Redirect HTTP→HTTPS OK; content length OK; dates present</t>
  </si>
  <si>
    <t>JS + pagination expected (insights listing), but extraction sirf top intro tak limited; content length + date missing</t>
  </si>
  <si>
    <t>Expected JS + pagination + date, but output sirf short static intro (listing load nahi hua), isliye content_ok=0 + js_ok=0 + date_present=0.</t>
  </si>
  <si>
    <t>Content + date OK; expected_js_required=Y but js_rendered flag missing/0 → js_ok fail</t>
  </si>
  <si>
    <t>Tavily</t>
  </si>
  <si>
    <t>Page content + dates captured; pagination controls also present</t>
  </si>
  <si>
    <t>Manual hub page; multiple handbook links + dates present</t>
  </si>
  <si>
    <t>Interactive JS-driven tables + charts; GDP values &amp; update date visible</t>
  </si>
  <si>
    <t>Year-wise pagination links (2010–2025), archive navigation present</t>
  </si>
  <si>
    <t>Year-specific paginated listing (2025); each item dated; archive navigation present</t>
  </si>
  <si>
    <t>SPA-style React docs; content requires JS hydration; deep internal linking</t>
  </si>
  <si>
    <t>JS-hydrated SPA docs; very large nav tree + API references; content visible only after JS</t>
  </si>
  <si>
    <t>Large JS-hydrated docs hub; category listings + deep internal links; content readable after JS</t>
  </si>
  <si>
    <t>HTTP → HTTPS redirect followed; SEC homepage content successfully fetched</t>
  </si>
  <si>
    <t>HTTP → HTTPS redirect followed successfully; FDIC homepage content extracted</t>
  </si>
  <si>
    <t>No Results Found</t>
  </si>
  <si>
    <t>Parallel</t>
  </si>
  <si>
    <t>Extraction OK; warning says objective/search_queries missing (relevance tuning), but page content still correct</t>
  </si>
  <si>
    <t>Strong content + dates; but warning: objective/search_queries missing (relevance tuning)</t>
  </si>
  <si>
    <t>Content threshold pass + publication-date table present; JS not required; only minor boilerplate + “objective/search_queries missing” warning.</t>
  </si>
  <si>
    <t xml:space="preserve"> </t>
  </si>
  <si>
    <t>Content + “Last Updated” date OK; warning: objective/search_queries missing (relevance tuning)</t>
  </si>
  <si>
    <t>Table-heavy page: “Data Downloads” table present; warning: objective/search_queries missing (relevance tuning)</t>
  </si>
  <si>
    <t>FRED GDP series page; large table + metadata; graphs are JS but core data is server-rendered</t>
  </si>
  <si>
    <t>Heavy navigation + year-wise pagination links; main value is archive index, not article body</t>
  </si>
  <si>
    <t xml:space="preserve"> Pagination links fully captured with year-wise press archives and update date; very high navigation noise; no author expected</t>
  </si>
  <si>
    <t>Year-specific press release archive; all 2025 items listed with category labels and final update date</t>
  </si>
  <si>
    <t>Complete year-wise pagination archive captured with clear title and last update date; very high navigation and link noise; author not applicable</t>
  </si>
  <si>
    <t>Content extracted successfully (Quick Start page) even without JS render; publish date/author not found in extracted text. :contentReference[oaicite:1]{index=1}</t>
  </si>
  <si>
    <t>Extracted “Next.js Docs” landing content successfully without JS execution; no publish date/byline in excerpted content. :contentReference[oaicite:1]{index=1}</t>
  </si>
  <si>
    <t>Azure Architecture Center page; title present; publish_date available (2025-08-27); excerpt may be truncated so chars/links are undercount. :contentReference[oaicite:1]{index=1}</t>
  </si>
  <si>
    <t>PDF text extracted across 5 pages; includes date “April 4, 2011” and signatory name; full_content is null so char counts are from excerpt text only. :contentReference[oaicite:1]{index=1}</t>
  </si>
  <si>
    <t>Meets min chars, date present, PDF pages parsed (5/5), and signatory name present; clean extraction with minimal noise.</t>
  </si>
  <si>
    <t>PDF text extracted successfully; extracted text includes section headers and a date marker like “(10/2025)”; top-level title field in extract is empty. :contentReference[oaicite:1]{index=1}</t>
  </si>
  <si>
    <t>Passes min-chars and date-present expectation; title appears in content but metadata title field is empty; no explicit author/byline detected.</t>
  </si>
  <si>
    <t>Redirect case (http → https). Title present “SEC.gov | Home”. No publish_date in extract; excerpt contains homepage sections, links, news/event items but no explicit page date captured. :contentReference[oaicite:1]{index=1}</t>
  </si>
  <si>
    <t>Extraction successful with sufficient text and title, but expected_date_present=Y while date not captured in extract → content_ok fails under your rules.</t>
  </si>
  <si>
    <t>Homepage content extracted; publish_date field is null but multiple in-page dates exist (PRESS RELEASE / November 24, 2025 etc.), so date_present=1</t>
  </si>
  <si>
    <t>parameter</t>
  </si>
  <si>
    <t>value</t>
  </si>
  <si>
    <t>w_success</t>
  </si>
  <si>
    <t>Fetch succeeded (1/0)</t>
  </si>
  <si>
    <t>w_content</t>
  </si>
  <si>
    <t>Main content meets expected_min_chars</t>
  </si>
  <si>
    <t>w_meta</t>
  </si>
  <si>
    <t>Title/date/author presence (date weighted only if expected_date_present=Y)</t>
  </si>
  <si>
    <t>w_noise</t>
  </si>
  <si>
    <t>Cleanliness = 1 - noise_estimate</t>
  </si>
  <si>
    <t>w_pdf</t>
  </si>
  <si>
    <t>PDF parsed OK for PDF URLs; else 1</t>
  </si>
  <si>
    <t>w_js</t>
  </si>
  <si>
    <t>JS rendered OK when expected_js_required=Y; else 1</t>
  </si>
  <si>
    <t>latency_floor</t>
  </si>
  <si>
    <t>Lower bound in seconds to avoid extreme efficiency scores</t>
  </si>
  <si>
    <t>cost_floor</t>
  </si>
  <si>
    <t>Lower bound for credits_used when blank/0</t>
  </si>
  <si>
    <t>pdf_min_pages</t>
  </si>
  <si>
    <t>Minimum parsed pages to treat PDF ok</t>
  </si>
  <si>
    <t>Where to type data (INPUT columns only)</t>
  </si>
  <si>
    <t>How to fill (format rules)</t>
  </si>
  <si>
    <t>Example</t>
  </si>
  <si>
    <t>Choose from dropdown. Keep spelling exact.</t>
  </si>
  <si>
    <t>Firecrawl</t>
  </si>
  <si>
    <t>Pick from Benchmark_URLs (U001..U045).</t>
  </si>
  <si>
    <t>Numeric HTTP status code.</t>
  </si>
  <si>
    <t>200</t>
  </si>
  <si>
    <t>Use 1 for success, 0 for failure.</t>
  </si>
  <si>
    <t>1</t>
  </si>
  <si>
    <t>1 if you used JS rendering and got real content; else 0.</t>
  </si>
  <si>
    <t>main_content_chars</t>
  </si>
  <si>
    <t>Chars of main extracted content (exclude nav/footer).</t>
  </si>
  <si>
    <t>8432</t>
  </si>
  <si>
    <t>Chars of full HTML/text returned (including noise).</t>
  </si>
  <si>
    <t>15200</t>
  </si>
  <si>
    <t>Chars attributed to nav/footer/boilerplate/ads.</t>
  </si>
  <si>
    <t>3100</t>
  </si>
  <si>
    <t>1 if title extracted, else 0.</t>
  </si>
  <si>
    <t>1 if publish/modified date extracted, else 0.</t>
  </si>
  <si>
    <t>1 if author extracted, else 0.</t>
  </si>
  <si>
    <t>0</t>
  </si>
  <si>
    <t>Count of unique outbound links captured.</t>
  </si>
  <si>
    <t>38</t>
  </si>
  <si>
    <t>Number of pages parsed (PDF only). Non-PDF =&gt; 0.</t>
  </si>
  <si>
    <t>Total wall time (seconds). Numeric.</t>
  </si>
  <si>
    <t>4.26</t>
  </si>
  <si>
    <t>Credits/cost units. Numeric. If unknown leave blank.</t>
  </si>
  <si>
    <t>5</t>
  </si>
  <si>
    <t>Short code (timeout, blocked, 4xx, 5xx, parse_error).</t>
  </si>
  <si>
    <t>timeout</t>
  </si>
  <si>
    <t>Short notes why content failed / what happened.</t>
  </si>
  <si>
    <t>bot blocked / consent wall</t>
  </si>
  <si>
    <t>Step</t>
  </si>
  <si>
    <t>What to do</t>
  </si>
  <si>
    <t>Benchmark_URLs: Use the 45 URLs as your fixed crawl test set (do not change during a benchmark run).</t>
  </si>
  <si>
    <t>For each tool, crawl/extract each URL (or a chosen subset) with the same settings.</t>
  </si>
  <si>
    <t>Crawl_Results: For every (tool, url_id) run, fill ONLY the blue INPUT columns. Do NOT edit gray AUTO columns.</t>
  </si>
  <si>
    <t>Use 0/1 strictly for *_1_0 columns. Use numbers (not text) for chars/latency/credits.</t>
  </si>
  <si>
    <t>Dashboard: Compare tools by success_rate, avg_quality, avg_efficiency, and pass-rates for PDF/JS categories.</t>
  </si>
  <si>
    <t>If you see #VALUE! anywhere, it means a numeric column has non-numeric text. Fix the input cell.</t>
  </si>
  <si>
    <t>runs</t>
  </si>
  <si>
    <t>success_rate</t>
  </si>
  <si>
    <t>avg_quality</t>
  </si>
  <si>
    <t>avg_efficiency</t>
  </si>
  <si>
    <t>avg_latency_s</t>
  </si>
  <si>
    <t>avg_credits</t>
  </si>
  <si>
    <t>content_ok_rate</t>
  </si>
  <si>
    <t>pdf_ok_rate (pdf only)</t>
  </si>
  <si>
    <t>js_ok_rate (js only)</t>
  </si>
  <si>
    <t>fail_rate</t>
  </si>
  <si>
    <t>Exa</t>
  </si>
  <si>
    <t>Other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</si>
</sst>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00"/>
  </numFmts>
  <fonts count="6">
    <font>
      <sz val="11.0"/>
      <color theme="1"/>
      <name val="Calibri"/>
      <scheme val="minor"/>
    </font>
    <font>
      <b/>
      <color rgb="FFFFFFFF"/>
      <name val="Nunito"/>
    </font>
    <font>
      <sz val="11.0"/>
      <color theme="1"/>
      <name val="Nunito"/>
    </font>
    <font>
      <u/>
      <sz val="11.0"/>
      <color theme="1"/>
      <name val="Nunito"/>
    </font>
    <font>
      <u/>
      <sz val="11.0"/>
      <color theme="1"/>
      <name val="Nunito"/>
    </font>
    <font>
      <color theme="1"/>
      <name val="Nunito"/>
    </font>
  </fonts>
  <fills count="6">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C9DAF8"/>
        <bgColor rgb="FFC9DAF8"/>
      </patternFill>
    </fill>
    <fill>
      <patternFill patternType="solid">
        <fgColor rgb="FFCFE2F3"/>
        <bgColor rgb="FFCFE2F3"/>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top" wrapText="1"/>
    </xf>
    <xf borderId="1" fillId="2" fontId="1" numFmtId="0" xfId="0" applyAlignment="1" applyBorder="1" applyFont="1">
      <alignment horizontal="center" shrinkToFit="0" vertical="center" wrapText="0"/>
    </xf>
    <xf borderId="1" fillId="2" fontId="1" numFmtId="0" xfId="0" applyAlignment="1" applyBorder="1" applyFont="1">
      <alignment horizontal="center" readingOrder="0" shrinkToFit="0" vertical="center" wrapText="0"/>
    </xf>
    <xf borderId="0" fillId="2" fontId="1" numFmtId="0" xfId="0" applyAlignment="1" applyFont="1">
      <alignment horizontal="center" readingOrder="0" shrinkToFit="0" vertical="center" wrapText="0"/>
    </xf>
    <xf borderId="1" fillId="3" fontId="2" numFmtId="0" xfId="0" applyAlignment="1" applyBorder="1" applyFill="1" applyFont="1">
      <alignment readingOrder="0" shrinkToFit="0" vertical="top" wrapText="0"/>
    </xf>
    <xf borderId="1" fillId="3" fontId="2" numFmtId="164" xfId="0" applyAlignment="1" applyBorder="1" applyFont="1" applyNumberFormat="1">
      <alignment readingOrder="0" shrinkToFit="0" vertical="top" wrapText="0"/>
    </xf>
    <xf borderId="1" fillId="0" fontId="2" numFmtId="0" xfId="0" applyAlignment="1" applyBorder="1" applyFont="1">
      <alignment shrinkToFit="0" vertical="top" wrapText="0"/>
    </xf>
    <xf borderId="1" fillId="3" fontId="3" numFmtId="0" xfId="0" applyAlignment="1" applyBorder="1" applyFont="1">
      <alignment shrinkToFit="0" vertical="top" wrapText="0"/>
    </xf>
    <xf borderId="1" fillId="3" fontId="2" numFmtId="0" xfId="0" applyAlignment="1" applyBorder="1" applyFont="1">
      <alignment shrinkToFit="0" vertical="top" wrapText="0"/>
    </xf>
    <xf borderId="1" fillId="3" fontId="2" numFmtId="1" xfId="0" applyAlignment="1" applyBorder="1" applyFont="1" applyNumberFormat="1">
      <alignment readingOrder="0" shrinkToFit="0" vertical="top" wrapText="0"/>
    </xf>
    <xf borderId="1" fillId="3" fontId="2" numFmtId="3" xfId="0" applyAlignment="1" applyBorder="1" applyFont="1" applyNumberFormat="1">
      <alignment readingOrder="0" shrinkToFit="0" vertical="top" wrapText="0"/>
    </xf>
    <xf borderId="1" fillId="3" fontId="2" numFmtId="2" xfId="0" applyAlignment="1" applyBorder="1" applyFont="1" applyNumberFormat="1">
      <alignment readingOrder="0" shrinkToFit="0" vertical="top" wrapText="0"/>
    </xf>
    <xf borderId="1" fillId="3" fontId="2" numFmtId="165" xfId="0" applyAlignment="1" applyBorder="1" applyFont="1" applyNumberFormat="1">
      <alignment readingOrder="0" shrinkToFit="0" vertical="top" wrapText="0"/>
    </xf>
    <xf borderId="1" fillId="3" fontId="2" numFmtId="165" xfId="0" applyAlignment="1" applyBorder="1" applyFont="1" applyNumberFormat="1">
      <alignment shrinkToFit="0" vertical="top" wrapText="0"/>
    </xf>
    <xf borderId="1" fillId="3" fontId="2" numFmtId="1" xfId="0" applyAlignment="1" applyBorder="1" applyFont="1" applyNumberFormat="1">
      <alignment shrinkToFit="0" vertical="top" wrapText="0"/>
    </xf>
    <xf borderId="0" fillId="3" fontId="2" numFmtId="165" xfId="0" applyAlignment="1" applyFont="1" applyNumberFormat="1">
      <alignment shrinkToFit="0" vertical="top" wrapText="0"/>
    </xf>
    <xf borderId="0" fillId="3" fontId="2" numFmtId="165" xfId="0" applyAlignment="1" applyFont="1" applyNumberFormat="1">
      <alignment readingOrder="0" shrinkToFit="0" vertical="top" wrapText="0"/>
    </xf>
    <xf borderId="1" fillId="3" fontId="2" numFmtId="3" xfId="0" applyAlignment="1" applyBorder="1" applyFont="1" applyNumberFormat="1">
      <alignment shrinkToFit="0" vertical="top" wrapText="0"/>
    </xf>
    <xf borderId="1" fillId="3" fontId="2" numFmtId="2" xfId="0" applyAlignment="1" applyBorder="1" applyFont="1" applyNumberFormat="1">
      <alignment shrinkToFit="0" vertical="top" wrapText="0"/>
    </xf>
    <xf borderId="1" fillId="4" fontId="2" numFmtId="0" xfId="0" applyAlignment="1" applyBorder="1" applyFill="1" applyFont="1">
      <alignment readingOrder="0" shrinkToFit="0" vertical="top" wrapText="0"/>
    </xf>
    <xf borderId="1" fillId="4" fontId="2" numFmtId="164" xfId="0" applyAlignment="1" applyBorder="1" applyFont="1" applyNumberFormat="1">
      <alignment readingOrder="0" shrinkToFit="0" vertical="top" wrapText="0"/>
    </xf>
    <xf borderId="1" fillId="4" fontId="2" numFmtId="0" xfId="0" applyAlignment="1" applyBorder="1" applyFont="1">
      <alignment shrinkToFit="0" vertical="top" wrapText="0"/>
    </xf>
    <xf borderId="1" fillId="4" fontId="4" numFmtId="0" xfId="0" applyAlignment="1" applyBorder="1" applyFont="1">
      <alignment shrinkToFit="0" vertical="top" wrapText="0"/>
    </xf>
    <xf borderId="1" fillId="4" fontId="2" numFmtId="1" xfId="0" applyAlignment="1" applyBorder="1" applyFont="1" applyNumberFormat="1">
      <alignment readingOrder="0" shrinkToFit="0" vertical="top" wrapText="0"/>
    </xf>
    <xf borderId="1" fillId="4" fontId="2" numFmtId="3" xfId="0" applyAlignment="1" applyBorder="1" applyFont="1" applyNumberFormat="1">
      <alignment readingOrder="0" shrinkToFit="0" vertical="top" wrapText="0"/>
    </xf>
    <xf borderId="1" fillId="4" fontId="2" numFmtId="2" xfId="0" applyAlignment="1" applyBorder="1" applyFont="1" applyNumberFormat="1">
      <alignment readingOrder="0" shrinkToFit="0" vertical="top" wrapText="0"/>
    </xf>
    <xf borderId="1" fillId="4" fontId="2" numFmtId="165" xfId="0" applyAlignment="1" applyBorder="1" applyFont="1" applyNumberFormat="1">
      <alignment shrinkToFit="0" vertical="top" wrapText="0"/>
    </xf>
    <xf borderId="1" fillId="4" fontId="2" numFmtId="1" xfId="0" applyAlignment="1" applyBorder="1" applyFont="1" applyNumberFormat="1">
      <alignment shrinkToFit="0" vertical="top" wrapText="0"/>
    </xf>
    <xf borderId="0" fillId="4" fontId="2" numFmtId="165" xfId="0" applyAlignment="1" applyFont="1" applyNumberFormat="1">
      <alignment shrinkToFit="0" vertical="top" wrapText="0"/>
    </xf>
    <xf borderId="0" fillId="0" fontId="5" numFmtId="0" xfId="0" applyAlignment="1" applyFont="1">
      <alignment readingOrder="0"/>
    </xf>
    <xf borderId="1" fillId="5" fontId="2" numFmtId="0" xfId="0" applyAlignment="1" applyBorder="1" applyFill="1" applyFont="1">
      <alignment shrinkToFit="0" vertical="top" wrapText="0"/>
    </xf>
    <xf borderId="1" fillId="5" fontId="2" numFmtId="164" xfId="0" applyAlignment="1" applyBorder="1" applyFont="1" applyNumberFormat="1">
      <alignment shrinkToFit="0" vertical="top" wrapText="0"/>
    </xf>
    <xf borderId="1" fillId="5" fontId="2" numFmtId="1" xfId="0" applyAlignment="1" applyBorder="1" applyFont="1" applyNumberFormat="1">
      <alignment shrinkToFit="0" vertical="top" wrapText="0"/>
    </xf>
    <xf borderId="1" fillId="5" fontId="2" numFmtId="3" xfId="0" applyAlignment="1" applyBorder="1" applyFont="1" applyNumberFormat="1">
      <alignment shrinkToFit="0" vertical="top" wrapText="0"/>
    </xf>
    <xf borderId="1" fillId="5" fontId="2" numFmtId="2" xfId="0" applyAlignment="1" applyBorder="1" applyFont="1" applyNumberFormat="1">
      <alignment shrinkToFit="0" vertical="top" wrapText="0"/>
    </xf>
    <xf borderId="1" fillId="5" fontId="2" numFmtId="165" xfId="0" applyAlignment="1" applyBorder="1" applyFont="1" applyNumberFormat="1">
      <alignment shrinkToFit="0" vertical="top" wrapText="0"/>
    </xf>
    <xf borderId="0" fillId="5" fontId="2" numFmtId="165" xfId="0" applyAlignment="1" applyFont="1" applyNumberFormat="1">
      <alignment shrinkToFit="0" vertical="top" wrapText="0"/>
    </xf>
    <xf borderId="1" fillId="3" fontId="2" numFmtId="164" xfId="0" applyAlignment="1" applyBorder="1" applyFont="1" applyNumberFormat="1">
      <alignment shrinkToFit="0" vertical="top" wrapText="0"/>
    </xf>
    <xf borderId="0" fillId="3" fontId="5" numFmtId="0" xfId="0" applyAlignment="1" applyFont="1">
      <alignment shrinkToFit="0" wrapText="0"/>
    </xf>
    <xf borderId="0" fillId="0" fontId="5" numFmtId="0" xfId="0" applyFont="1"/>
    <xf borderId="1" fillId="0" fontId="2" numFmtId="1" xfId="0" applyAlignment="1" applyBorder="1" applyFont="1" applyNumberFormat="1">
      <alignment shrinkToFit="0" vertical="top" wrapText="1"/>
    </xf>
    <xf borderId="1" fillId="0" fontId="2" numFmtId="165" xfId="0" applyAlignment="1" applyBorder="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4.0"/>
    <col customWidth="1" min="3" max="3" width="22.0"/>
    <col customWidth="1" min="4" max="4" width="70.0"/>
    <col customWidth="1" min="5" max="5" width="24.0"/>
    <col customWidth="1" min="6" max="6" width="12.0"/>
    <col customWidth="1" min="7" max="8" width="16.0"/>
    <col customWidth="1" min="9" max="9" width="18.0"/>
    <col customWidth="1" min="10" max="10" width="20.0"/>
    <col customWidth="1" min="11" max="11" width="18.0"/>
    <col customWidth="1" min="12" max="12" width="45.0"/>
    <col customWidth="1" min="13" max="26" width="8.71"/>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2" t="s">
        <v>14</v>
      </c>
      <c r="D2" s="2" t="s">
        <v>15</v>
      </c>
      <c r="E2" s="2" t="s">
        <v>16</v>
      </c>
      <c r="F2" s="2" t="s">
        <v>17</v>
      </c>
      <c r="G2" s="2" t="s">
        <v>18</v>
      </c>
      <c r="H2" s="2" t="s">
        <v>18</v>
      </c>
      <c r="I2" s="2" t="s">
        <v>18</v>
      </c>
      <c r="J2" s="2" t="s">
        <v>19</v>
      </c>
      <c r="K2" s="2">
        <v>4000.0</v>
      </c>
      <c r="L2" s="2" t="s">
        <v>20</v>
      </c>
    </row>
    <row r="3">
      <c r="A3" s="2" t="s">
        <v>21</v>
      </c>
      <c r="B3" s="2" t="s">
        <v>13</v>
      </c>
      <c r="C3" s="2" t="s">
        <v>22</v>
      </c>
      <c r="D3" s="2" t="s">
        <v>23</v>
      </c>
      <c r="E3" s="2" t="s">
        <v>24</v>
      </c>
      <c r="F3" s="2" t="s">
        <v>17</v>
      </c>
      <c r="G3" s="2" t="s">
        <v>18</v>
      </c>
      <c r="H3" s="2" t="s">
        <v>18</v>
      </c>
      <c r="I3" s="2" t="s">
        <v>18</v>
      </c>
      <c r="J3" s="2" t="s">
        <v>19</v>
      </c>
      <c r="K3" s="2">
        <v>3000.0</v>
      </c>
      <c r="L3" s="2" t="s">
        <v>25</v>
      </c>
    </row>
    <row r="4">
      <c r="A4" s="2" t="s">
        <v>26</v>
      </c>
      <c r="B4" s="2" t="s">
        <v>13</v>
      </c>
      <c r="C4" s="2" t="s">
        <v>27</v>
      </c>
      <c r="D4" s="2" t="s">
        <v>28</v>
      </c>
      <c r="E4" s="2" t="s">
        <v>29</v>
      </c>
      <c r="F4" s="2" t="s">
        <v>17</v>
      </c>
      <c r="G4" s="2" t="s">
        <v>18</v>
      </c>
      <c r="H4" s="2" t="s">
        <v>18</v>
      </c>
      <c r="I4" s="2" t="s">
        <v>18</v>
      </c>
      <c r="J4" s="2" t="s">
        <v>19</v>
      </c>
      <c r="K4" s="2">
        <v>2000.0</v>
      </c>
      <c r="L4" s="2" t="s">
        <v>30</v>
      </c>
    </row>
    <row r="5">
      <c r="A5" s="2" t="s">
        <v>31</v>
      </c>
      <c r="B5" s="2" t="s">
        <v>32</v>
      </c>
      <c r="C5" s="2" t="s">
        <v>33</v>
      </c>
      <c r="D5" s="2" t="s">
        <v>34</v>
      </c>
      <c r="E5" s="2" t="s">
        <v>35</v>
      </c>
      <c r="F5" s="2" t="s">
        <v>17</v>
      </c>
      <c r="G5" s="2" t="s">
        <v>18</v>
      </c>
      <c r="H5" s="2" t="s">
        <v>19</v>
      </c>
      <c r="I5" s="2" t="s">
        <v>18</v>
      </c>
      <c r="J5" s="2" t="s">
        <v>19</v>
      </c>
      <c r="K5" s="2">
        <v>2000.0</v>
      </c>
      <c r="L5" s="2" t="s">
        <v>36</v>
      </c>
    </row>
    <row r="6">
      <c r="A6" s="2" t="s">
        <v>37</v>
      </c>
      <c r="B6" s="2" t="s">
        <v>13</v>
      </c>
      <c r="C6" s="2" t="s">
        <v>38</v>
      </c>
      <c r="D6" s="2" t="s">
        <v>39</v>
      </c>
      <c r="E6" s="2" t="s">
        <v>40</v>
      </c>
      <c r="F6" s="2" t="s">
        <v>17</v>
      </c>
      <c r="G6" s="2" t="s">
        <v>18</v>
      </c>
      <c r="H6" s="2" t="s">
        <v>18</v>
      </c>
      <c r="I6" s="2" t="s">
        <v>18</v>
      </c>
      <c r="J6" s="2" t="s">
        <v>19</v>
      </c>
      <c r="K6" s="2">
        <v>2000.0</v>
      </c>
      <c r="L6" s="2" t="s">
        <v>41</v>
      </c>
    </row>
    <row r="7">
      <c r="A7" s="2" t="s">
        <v>42</v>
      </c>
      <c r="B7" s="2" t="s">
        <v>13</v>
      </c>
      <c r="C7" s="2" t="s">
        <v>43</v>
      </c>
      <c r="D7" s="2" t="s">
        <v>44</v>
      </c>
      <c r="E7" s="2" t="s">
        <v>45</v>
      </c>
      <c r="F7" s="2" t="s">
        <v>17</v>
      </c>
      <c r="G7" s="2" t="s">
        <v>19</v>
      </c>
      <c r="H7" s="2" t="s">
        <v>18</v>
      </c>
      <c r="I7" s="2" t="s">
        <v>18</v>
      </c>
      <c r="J7" s="2" t="s">
        <v>19</v>
      </c>
      <c r="K7" s="2">
        <v>1500.0</v>
      </c>
      <c r="L7" s="2" t="s">
        <v>46</v>
      </c>
    </row>
    <row r="8">
      <c r="A8" s="2" t="s">
        <v>47</v>
      </c>
      <c r="B8" s="2" t="s">
        <v>13</v>
      </c>
      <c r="C8" s="2" t="s">
        <v>48</v>
      </c>
      <c r="D8" s="2" t="s">
        <v>49</v>
      </c>
      <c r="E8" s="2" t="s">
        <v>50</v>
      </c>
      <c r="F8" s="2" t="s">
        <v>17</v>
      </c>
      <c r="G8" s="2" t="s">
        <v>19</v>
      </c>
      <c r="H8" s="2" t="s">
        <v>18</v>
      </c>
      <c r="I8" s="2" t="s">
        <v>18</v>
      </c>
      <c r="J8" s="2" t="s">
        <v>19</v>
      </c>
      <c r="K8" s="2">
        <v>2000.0</v>
      </c>
      <c r="L8" s="2" t="s">
        <v>51</v>
      </c>
    </row>
    <row r="9">
      <c r="A9" s="2" t="s">
        <v>52</v>
      </c>
      <c r="B9" s="2" t="s">
        <v>53</v>
      </c>
      <c r="C9" s="2" t="s">
        <v>54</v>
      </c>
      <c r="D9" s="2" t="s">
        <v>55</v>
      </c>
      <c r="E9" s="2" t="s">
        <v>16</v>
      </c>
      <c r="F9" s="2" t="s">
        <v>17</v>
      </c>
      <c r="G9" s="2" t="s">
        <v>18</v>
      </c>
      <c r="H9" s="2" t="s">
        <v>18</v>
      </c>
      <c r="I9" s="2" t="s">
        <v>19</v>
      </c>
      <c r="J9" s="2" t="s">
        <v>19</v>
      </c>
      <c r="K9" s="2">
        <v>2000.0</v>
      </c>
      <c r="L9" s="2" t="s">
        <v>56</v>
      </c>
    </row>
    <row r="10">
      <c r="A10" s="2" t="s">
        <v>57</v>
      </c>
      <c r="B10" s="2" t="s">
        <v>53</v>
      </c>
      <c r="C10" s="2" t="s">
        <v>54</v>
      </c>
      <c r="D10" s="2" t="s">
        <v>58</v>
      </c>
      <c r="E10" s="2" t="s">
        <v>16</v>
      </c>
      <c r="F10" s="2" t="s">
        <v>17</v>
      </c>
      <c r="G10" s="2" t="s">
        <v>18</v>
      </c>
      <c r="H10" s="2" t="s">
        <v>18</v>
      </c>
      <c r="I10" s="2" t="s">
        <v>19</v>
      </c>
      <c r="J10" s="2" t="s">
        <v>19</v>
      </c>
      <c r="K10" s="2">
        <v>2000.0</v>
      </c>
      <c r="L10" s="2" t="s">
        <v>59</v>
      </c>
    </row>
    <row r="11">
      <c r="A11" s="2" t="s">
        <v>60</v>
      </c>
      <c r="B11" s="2" t="s">
        <v>53</v>
      </c>
      <c r="C11" s="2" t="s">
        <v>54</v>
      </c>
      <c r="D11" s="2" t="s">
        <v>61</v>
      </c>
      <c r="E11" s="2" t="s">
        <v>35</v>
      </c>
      <c r="F11" s="2" t="s">
        <v>17</v>
      </c>
      <c r="G11" s="2" t="s">
        <v>18</v>
      </c>
      <c r="H11" s="2" t="s">
        <v>19</v>
      </c>
      <c r="I11" s="2" t="s">
        <v>19</v>
      </c>
      <c r="J11" s="2" t="s">
        <v>19</v>
      </c>
      <c r="K11" s="2">
        <v>2000.0</v>
      </c>
      <c r="L11" s="2" t="s">
        <v>62</v>
      </c>
    </row>
    <row r="12">
      <c r="A12" s="2" t="s">
        <v>63</v>
      </c>
      <c r="B12" s="2" t="s">
        <v>53</v>
      </c>
      <c r="C12" s="2" t="s">
        <v>54</v>
      </c>
      <c r="D12" s="2" t="s">
        <v>64</v>
      </c>
      <c r="E12" s="2" t="s">
        <v>35</v>
      </c>
      <c r="F12" s="2" t="s">
        <v>17</v>
      </c>
      <c r="G12" s="2" t="s">
        <v>18</v>
      </c>
      <c r="H12" s="2" t="s">
        <v>19</v>
      </c>
      <c r="I12" s="2" t="s">
        <v>19</v>
      </c>
      <c r="J12" s="2" t="s">
        <v>19</v>
      </c>
      <c r="K12" s="2">
        <v>2000.0</v>
      </c>
      <c r="L12" s="2" t="s">
        <v>65</v>
      </c>
    </row>
    <row r="13">
      <c r="A13" s="2" t="s">
        <v>66</v>
      </c>
      <c r="B13" s="2" t="s">
        <v>32</v>
      </c>
      <c r="C13" s="2" t="s">
        <v>67</v>
      </c>
      <c r="D13" s="2" t="s">
        <v>68</v>
      </c>
      <c r="E13" s="2" t="s">
        <v>69</v>
      </c>
      <c r="F13" s="2" t="s">
        <v>17</v>
      </c>
      <c r="G13" s="2" t="s">
        <v>19</v>
      </c>
      <c r="H13" s="2" t="s">
        <v>19</v>
      </c>
      <c r="I13" s="2" t="s">
        <v>18</v>
      </c>
      <c r="J13" s="2" t="s">
        <v>19</v>
      </c>
      <c r="K13" s="2">
        <v>2500.0</v>
      </c>
      <c r="L13" s="2" t="s">
        <v>70</v>
      </c>
    </row>
    <row r="14">
      <c r="A14" s="2" t="s">
        <v>71</v>
      </c>
      <c r="B14" s="2" t="s">
        <v>32</v>
      </c>
      <c r="C14" s="2" t="s">
        <v>67</v>
      </c>
      <c r="D14" s="2" t="s">
        <v>72</v>
      </c>
      <c r="E14" s="2" t="s">
        <v>73</v>
      </c>
      <c r="F14" s="2" t="s">
        <v>17</v>
      </c>
      <c r="G14" s="2" t="s">
        <v>19</v>
      </c>
      <c r="H14" s="2" t="s">
        <v>19</v>
      </c>
      <c r="I14" s="2" t="s">
        <v>18</v>
      </c>
      <c r="J14" s="2" t="s">
        <v>19</v>
      </c>
      <c r="K14" s="2">
        <v>2500.0</v>
      </c>
      <c r="L14" s="2" t="s">
        <v>74</v>
      </c>
    </row>
    <row r="15">
      <c r="A15" s="2" t="s">
        <v>75</v>
      </c>
      <c r="B15" s="2" t="s">
        <v>32</v>
      </c>
      <c r="C15" s="2" t="s">
        <v>76</v>
      </c>
      <c r="D15" s="2" t="s">
        <v>77</v>
      </c>
      <c r="E15" s="2" t="s">
        <v>78</v>
      </c>
      <c r="F15" s="2" t="s">
        <v>17</v>
      </c>
      <c r="G15" s="2" t="s">
        <v>18</v>
      </c>
      <c r="H15" s="2" t="s">
        <v>19</v>
      </c>
      <c r="I15" s="2" t="s">
        <v>18</v>
      </c>
      <c r="J15" s="2" t="s">
        <v>19</v>
      </c>
      <c r="K15" s="2">
        <v>5000.0</v>
      </c>
      <c r="L15" s="2" t="s">
        <v>79</v>
      </c>
    </row>
    <row r="16">
      <c r="A16" s="2" t="s">
        <v>80</v>
      </c>
      <c r="B16" s="2" t="s">
        <v>32</v>
      </c>
      <c r="C16" s="2" t="s">
        <v>81</v>
      </c>
      <c r="D16" s="2" t="s">
        <v>82</v>
      </c>
      <c r="E16" s="2" t="s">
        <v>29</v>
      </c>
      <c r="F16" s="2" t="s">
        <v>17</v>
      </c>
      <c r="G16" s="2" t="s">
        <v>18</v>
      </c>
      <c r="H16" s="2" t="s">
        <v>19</v>
      </c>
      <c r="I16" s="2" t="s">
        <v>18</v>
      </c>
      <c r="J16" s="2" t="s">
        <v>19</v>
      </c>
      <c r="K16" s="2">
        <v>3000.0</v>
      </c>
      <c r="L16" s="2" t="s">
        <v>83</v>
      </c>
    </row>
    <row r="17">
      <c r="A17" s="2" t="s">
        <v>84</v>
      </c>
      <c r="B17" s="2" t="s">
        <v>85</v>
      </c>
      <c r="C17" s="2" t="s">
        <v>86</v>
      </c>
      <c r="D17" s="2" t="s">
        <v>87</v>
      </c>
      <c r="E17" s="2" t="s">
        <v>88</v>
      </c>
      <c r="F17" s="2" t="s">
        <v>17</v>
      </c>
      <c r="G17" s="2" t="s">
        <v>19</v>
      </c>
      <c r="H17" s="2" t="s">
        <v>18</v>
      </c>
      <c r="I17" s="2" t="s">
        <v>18</v>
      </c>
      <c r="J17" s="2" t="s">
        <v>19</v>
      </c>
      <c r="K17" s="2">
        <v>3000.0</v>
      </c>
      <c r="L17" s="2" t="s">
        <v>89</v>
      </c>
    </row>
    <row r="18">
      <c r="A18" s="2" t="s">
        <v>90</v>
      </c>
      <c r="B18" s="2" t="s">
        <v>85</v>
      </c>
      <c r="C18" s="2" t="s">
        <v>86</v>
      </c>
      <c r="D18" s="2" t="s">
        <v>91</v>
      </c>
      <c r="E18" s="2" t="s">
        <v>92</v>
      </c>
      <c r="F18" s="2" t="s">
        <v>17</v>
      </c>
      <c r="G18" s="2" t="s">
        <v>19</v>
      </c>
      <c r="H18" s="2" t="s">
        <v>18</v>
      </c>
      <c r="I18" s="2" t="s">
        <v>18</v>
      </c>
      <c r="J18" s="2" t="s">
        <v>19</v>
      </c>
      <c r="K18" s="2">
        <v>3000.0</v>
      </c>
      <c r="L18" s="2" t="s">
        <v>93</v>
      </c>
    </row>
    <row r="19">
      <c r="A19" s="2" t="s">
        <v>94</v>
      </c>
      <c r="B19" s="2" t="s">
        <v>85</v>
      </c>
      <c r="C19" s="2" t="s">
        <v>86</v>
      </c>
      <c r="D19" s="2" t="s">
        <v>95</v>
      </c>
      <c r="E19" s="2" t="s">
        <v>96</v>
      </c>
      <c r="F19" s="2" t="s">
        <v>17</v>
      </c>
      <c r="G19" s="2" t="s">
        <v>19</v>
      </c>
      <c r="H19" s="2" t="s">
        <v>18</v>
      </c>
      <c r="I19" s="2" t="s">
        <v>18</v>
      </c>
      <c r="J19" s="2" t="s">
        <v>19</v>
      </c>
      <c r="K19" s="2">
        <v>3000.0</v>
      </c>
      <c r="L19" s="2" t="s">
        <v>97</v>
      </c>
    </row>
    <row r="20">
      <c r="A20" s="2" t="s">
        <v>98</v>
      </c>
      <c r="B20" s="2" t="s">
        <v>85</v>
      </c>
      <c r="C20" s="2" t="s">
        <v>86</v>
      </c>
      <c r="D20" s="2" t="s">
        <v>99</v>
      </c>
      <c r="E20" s="2" t="s">
        <v>100</v>
      </c>
      <c r="F20" s="2" t="s">
        <v>17</v>
      </c>
      <c r="G20" s="2" t="s">
        <v>19</v>
      </c>
      <c r="H20" s="2" t="s">
        <v>18</v>
      </c>
      <c r="I20" s="2" t="s">
        <v>18</v>
      </c>
      <c r="J20" s="2" t="s">
        <v>19</v>
      </c>
      <c r="K20" s="2">
        <v>3000.0</v>
      </c>
      <c r="L20" s="2" t="s">
        <v>101</v>
      </c>
    </row>
    <row r="21" ht="15.75" customHeight="1">
      <c r="A21" s="2" t="s">
        <v>102</v>
      </c>
      <c r="B21" s="2" t="s">
        <v>85</v>
      </c>
      <c r="C21" s="2" t="s">
        <v>86</v>
      </c>
      <c r="D21" s="2" t="s">
        <v>103</v>
      </c>
      <c r="E21" s="2" t="s">
        <v>104</v>
      </c>
      <c r="F21" s="2" t="s">
        <v>17</v>
      </c>
      <c r="G21" s="2" t="s">
        <v>19</v>
      </c>
      <c r="H21" s="2" t="s">
        <v>18</v>
      </c>
      <c r="I21" s="2" t="s">
        <v>18</v>
      </c>
      <c r="J21" s="2" t="s">
        <v>19</v>
      </c>
      <c r="K21" s="2">
        <v>3000.0</v>
      </c>
      <c r="L21" s="2" t="s">
        <v>105</v>
      </c>
    </row>
    <row r="22" ht="15.75" customHeight="1">
      <c r="A22" s="2" t="s">
        <v>106</v>
      </c>
      <c r="B22" s="2" t="s">
        <v>85</v>
      </c>
      <c r="C22" s="2" t="s">
        <v>107</v>
      </c>
      <c r="D22" s="2" t="s">
        <v>108</v>
      </c>
      <c r="E22" s="2" t="s">
        <v>109</v>
      </c>
      <c r="F22" s="2" t="s">
        <v>17</v>
      </c>
      <c r="G22" s="2" t="s">
        <v>19</v>
      </c>
      <c r="H22" s="2" t="s">
        <v>18</v>
      </c>
      <c r="I22" s="2" t="s">
        <v>18</v>
      </c>
      <c r="J22" s="2" t="s">
        <v>19</v>
      </c>
      <c r="K22" s="2">
        <v>2500.0</v>
      </c>
      <c r="L22" s="2" t="s">
        <v>110</v>
      </c>
    </row>
    <row r="23" ht="15.75" customHeight="1">
      <c r="A23" s="2" t="s">
        <v>111</v>
      </c>
      <c r="B23" s="2" t="s">
        <v>85</v>
      </c>
      <c r="C23" s="2" t="s">
        <v>112</v>
      </c>
      <c r="D23" s="2" t="s">
        <v>113</v>
      </c>
      <c r="E23" s="2" t="s">
        <v>114</v>
      </c>
      <c r="F23" s="2" t="s">
        <v>17</v>
      </c>
      <c r="G23" s="2" t="s">
        <v>19</v>
      </c>
      <c r="H23" s="2" t="s">
        <v>18</v>
      </c>
      <c r="I23" s="2" t="s">
        <v>18</v>
      </c>
      <c r="J23" s="2" t="s">
        <v>19</v>
      </c>
      <c r="K23" s="2">
        <v>2500.0</v>
      </c>
      <c r="L23" s="2" t="s">
        <v>115</v>
      </c>
    </row>
    <row r="24" ht="15.75" customHeight="1">
      <c r="A24" s="2" t="s">
        <v>116</v>
      </c>
      <c r="B24" s="2" t="s">
        <v>85</v>
      </c>
      <c r="C24" s="2" t="s">
        <v>112</v>
      </c>
      <c r="D24" s="2" t="s">
        <v>117</v>
      </c>
      <c r="E24" s="2" t="s">
        <v>118</v>
      </c>
      <c r="F24" s="2" t="s">
        <v>17</v>
      </c>
      <c r="G24" s="2" t="s">
        <v>19</v>
      </c>
      <c r="H24" s="2" t="s">
        <v>18</v>
      </c>
      <c r="I24" s="2" t="s">
        <v>18</v>
      </c>
      <c r="J24" s="2" t="s">
        <v>19</v>
      </c>
      <c r="K24" s="2">
        <v>2500.0</v>
      </c>
      <c r="L24" s="2" t="s">
        <v>119</v>
      </c>
    </row>
    <row r="25" ht="15.75" customHeight="1">
      <c r="A25" s="2" t="s">
        <v>120</v>
      </c>
      <c r="B25" s="2" t="s">
        <v>121</v>
      </c>
      <c r="C25" s="2" t="s">
        <v>122</v>
      </c>
      <c r="D25" s="2" t="s">
        <v>123</v>
      </c>
      <c r="E25" s="2" t="s">
        <v>16</v>
      </c>
      <c r="F25" s="2" t="s">
        <v>124</v>
      </c>
      <c r="G25" s="2" t="s">
        <v>18</v>
      </c>
      <c r="H25" s="2" t="s">
        <v>18</v>
      </c>
      <c r="I25" s="2" t="s">
        <v>18</v>
      </c>
      <c r="J25" s="2" t="s">
        <v>19</v>
      </c>
      <c r="K25" s="2">
        <v>8000.0</v>
      </c>
      <c r="L25" s="2" t="s">
        <v>125</v>
      </c>
    </row>
    <row r="26" ht="15.75" customHeight="1">
      <c r="A26" s="2" t="s">
        <v>126</v>
      </c>
      <c r="B26" s="2" t="s">
        <v>121</v>
      </c>
      <c r="C26" s="2" t="s">
        <v>127</v>
      </c>
      <c r="D26" s="2" t="s">
        <v>128</v>
      </c>
      <c r="E26" s="2" t="s">
        <v>29</v>
      </c>
      <c r="F26" s="2" t="s">
        <v>124</v>
      </c>
      <c r="G26" s="2" t="s">
        <v>18</v>
      </c>
      <c r="H26" s="2" t="s">
        <v>18</v>
      </c>
      <c r="I26" s="2" t="s">
        <v>18</v>
      </c>
      <c r="J26" s="2" t="s">
        <v>19</v>
      </c>
      <c r="K26" s="2">
        <v>15000.0</v>
      </c>
      <c r="L26" s="2" t="s">
        <v>129</v>
      </c>
    </row>
    <row r="27" ht="15.75" customHeight="1">
      <c r="A27" s="2" t="s">
        <v>130</v>
      </c>
      <c r="B27" s="2" t="s">
        <v>121</v>
      </c>
      <c r="C27" s="2" t="s">
        <v>131</v>
      </c>
      <c r="D27" s="2" t="s">
        <v>132</v>
      </c>
      <c r="E27" s="2" t="s">
        <v>133</v>
      </c>
      <c r="F27" s="2" t="s">
        <v>124</v>
      </c>
      <c r="G27" s="2" t="s">
        <v>18</v>
      </c>
      <c r="H27" s="2" t="s">
        <v>18</v>
      </c>
      <c r="I27" s="2" t="s">
        <v>18</v>
      </c>
      <c r="J27" s="2" t="s">
        <v>19</v>
      </c>
      <c r="K27" s="2">
        <v>12000.0</v>
      </c>
      <c r="L27" s="2" t="s">
        <v>134</v>
      </c>
    </row>
    <row r="28" ht="15.75" customHeight="1">
      <c r="A28" s="2" t="s">
        <v>135</v>
      </c>
      <c r="B28" s="2" t="s">
        <v>121</v>
      </c>
      <c r="C28" s="2" t="s">
        <v>136</v>
      </c>
      <c r="D28" s="2" t="s">
        <v>137</v>
      </c>
      <c r="E28" s="2" t="s">
        <v>35</v>
      </c>
      <c r="F28" s="2" t="s">
        <v>124</v>
      </c>
      <c r="G28" s="2" t="s">
        <v>18</v>
      </c>
      <c r="H28" s="2" t="s">
        <v>18</v>
      </c>
      <c r="I28" s="2" t="s">
        <v>18</v>
      </c>
      <c r="J28" s="2" t="s">
        <v>19</v>
      </c>
      <c r="K28" s="2">
        <v>8000.0</v>
      </c>
      <c r="L28" s="2" t="s">
        <v>138</v>
      </c>
    </row>
    <row r="29" ht="15.75" customHeight="1">
      <c r="A29" s="2" t="s">
        <v>139</v>
      </c>
      <c r="B29" s="2" t="s">
        <v>121</v>
      </c>
      <c r="C29" s="2" t="s">
        <v>140</v>
      </c>
      <c r="D29" s="2" t="s">
        <v>141</v>
      </c>
      <c r="E29" s="2" t="s">
        <v>35</v>
      </c>
      <c r="F29" s="2" t="s">
        <v>124</v>
      </c>
      <c r="G29" s="2" t="s">
        <v>18</v>
      </c>
      <c r="H29" s="2" t="s">
        <v>18</v>
      </c>
      <c r="I29" s="2" t="s">
        <v>18</v>
      </c>
      <c r="J29" s="2" t="s">
        <v>19</v>
      </c>
      <c r="K29" s="2">
        <v>15000.0</v>
      </c>
      <c r="L29" s="2" t="s">
        <v>142</v>
      </c>
    </row>
    <row r="30" ht="15.75" customHeight="1">
      <c r="A30" s="2" t="s">
        <v>143</v>
      </c>
      <c r="B30" s="2" t="s">
        <v>121</v>
      </c>
      <c r="C30" s="2" t="s">
        <v>144</v>
      </c>
      <c r="D30" s="2" t="s">
        <v>145</v>
      </c>
      <c r="E30" s="2" t="s">
        <v>40</v>
      </c>
      <c r="F30" s="2" t="s">
        <v>124</v>
      </c>
      <c r="G30" s="2" t="s">
        <v>18</v>
      </c>
      <c r="H30" s="2" t="s">
        <v>18</v>
      </c>
      <c r="I30" s="2" t="s">
        <v>18</v>
      </c>
      <c r="J30" s="2" t="s">
        <v>19</v>
      </c>
      <c r="K30" s="2">
        <v>15000.0</v>
      </c>
      <c r="L30" s="2" t="s">
        <v>146</v>
      </c>
    </row>
    <row r="31" ht="15.75" customHeight="1">
      <c r="A31" s="2" t="s">
        <v>147</v>
      </c>
      <c r="B31" s="2" t="s">
        <v>121</v>
      </c>
      <c r="C31" s="2" t="s">
        <v>148</v>
      </c>
      <c r="D31" s="2" t="s">
        <v>149</v>
      </c>
      <c r="E31" s="2" t="s">
        <v>150</v>
      </c>
      <c r="F31" s="2" t="s">
        <v>124</v>
      </c>
      <c r="G31" s="2" t="s">
        <v>18</v>
      </c>
      <c r="H31" s="2" t="s">
        <v>18</v>
      </c>
      <c r="I31" s="2" t="s">
        <v>18</v>
      </c>
      <c r="J31" s="2" t="s">
        <v>19</v>
      </c>
      <c r="K31" s="2">
        <v>12000.0</v>
      </c>
      <c r="L31" s="2" t="s">
        <v>151</v>
      </c>
    </row>
    <row r="32" ht="15.75" customHeight="1">
      <c r="A32" s="2" t="s">
        <v>152</v>
      </c>
      <c r="B32" s="2" t="s">
        <v>121</v>
      </c>
      <c r="C32" s="2" t="s">
        <v>127</v>
      </c>
      <c r="D32" s="2" t="s">
        <v>153</v>
      </c>
      <c r="E32" s="2" t="s">
        <v>154</v>
      </c>
      <c r="F32" s="2" t="s">
        <v>124</v>
      </c>
      <c r="G32" s="2" t="s">
        <v>18</v>
      </c>
      <c r="H32" s="2" t="s">
        <v>18</v>
      </c>
      <c r="I32" s="2" t="s">
        <v>18</v>
      </c>
      <c r="J32" s="2" t="s">
        <v>19</v>
      </c>
      <c r="K32" s="2">
        <v>15000.0</v>
      </c>
      <c r="L32" s="2" t="s">
        <v>155</v>
      </c>
    </row>
    <row r="33" ht="15.75" customHeight="1">
      <c r="A33" s="2" t="s">
        <v>156</v>
      </c>
      <c r="B33" s="2" t="s">
        <v>32</v>
      </c>
      <c r="C33" s="2" t="s">
        <v>157</v>
      </c>
      <c r="D33" s="2" t="s">
        <v>158</v>
      </c>
      <c r="E33" s="2" t="s">
        <v>159</v>
      </c>
      <c r="F33" s="2" t="s">
        <v>17</v>
      </c>
      <c r="G33" s="2" t="s">
        <v>19</v>
      </c>
      <c r="H33" s="2" t="s">
        <v>19</v>
      </c>
      <c r="I33" s="2" t="s">
        <v>18</v>
      </c>
      <c r="J33" s="2" t="s">
        <v>19</v>
      </c>
      <c r="K33" s="2">
        <v>3000.0</v>
      </c>
      <c r="L33" s="2" t="s">
        <v>160</v>
      </c>
    </row>
    <row r="34" ht="15.75" customHeight="1">
      <c r="A34" s="2" t="s">
        <v>161</v>
      </c>
      <c r="B34" s="2" t="s">
        <v>162</v>
      </c>
      <c r="C34" s="2" t="s">
        <v>163</v>
      </c>
      <c r="D34" s="2" t="s">
        <v>164</v>
      </c>
      <c r="E34" s="2" t="s">
        <v>35</v>
      </c>
      <c r="F34" s="2" t="s">
        <v>17</v>
      </c>
      <c r="G34" s="2" t="s">
        <v>18</v>
      </c>
      <c r="H34" s="2" t="s">
        <v>18</v>
      </c>
      <c r="I34" s="2" t="s">
        <v>18</v>
      </c>
      <c r="J34" s="2" t="s">
        <v>19</v>
      </c>
      <c r="K34" s="2">
        <v>500.0</v>
      </c>
      <c r="L34" s="2" t="s">
        <v>165</v>
      </c>
    </row>
    <row r="35" ht="15.75" customHeight="1">
      <c r="A35" s="2" t="s">
        <v>166</v>
      </c>
      <c r="B35" s="2" t="s">
        <v>162</v>
      </c>
      <c r="C35" s="2" t="s">
        <v>163</v>
      </c>
      <c r="D35" s="2" t="s">
        <v>167</v>
      </c>
      <c r="E35" s="2" t="s">
        <v>29</v>
      </c>
      <c r="F35" s="2" t="s">
        <v>17</v>
      </c>
      <c r="G35" s="2" t="s">
        <v>18</v>
      </c>
      <c r="H35" s="2" t="s">
        <v>18</v>
      </c>
      <c r="I35" s="2" t="s">
        <v>18</v>
      </c>
      <c r="J35" s="2" t="s">
        <v>19</v>
      </c>
      <c r="K35" s="2">
        <v>500.0</v>
      </c>
      <c r="L35" s="2" t="s">
        <v>165</v>
      </c>
    </row>
    <row r="36" ht="15.75" customHeight="1">
      <c r="A36" s="2" t="s">
        <v>168</v>
      </c>
      <c r="B36" s="2" t="s">
        <v>162</v>
      </c>
      <c r="C36" s="2" t="s">
        <v>169</v>
      </c>
      <c r="D36" s="2" t="s">
        <v>170</v>
      </c>
      <c r="E36" s="2" t="s">
        <v>171</v>
      </c>
      <c r="F36" s="2" t="s">
        <v>17</v>
      </c>
      <c r="G36" s="2" t="s">
        <v>18</v>
      </c>
      <c r="H36" s="2" t="s">
        <v>18</v>
      </c>
      <c r="I36" s="2" t="s">
        <v>18</v>
      </c>
      <c r="J36" s="2" t="s">
        <v>19</v>
      </c>
      <c r="K36" s="2">
        <v>500.0</v>
      </c>
      <c r="L36" s="2" t="s">
        <v>172</v>
      </c>
    </row>
    <row r="37" ht="15.75" customHeight="1">
      <c r="A37" s="2" t="s">
        <v>173</v>
      </c>
      <c r="B37" s="2" t="s">
        <v>174</v>
      </c>
      <c r="C37" s="2" t="s">
        <v>175</v>
      </c>
      <c r="D37" s="2" t="s">
        <v>176</v>
      </c>
      <c r="E37" s="2" t="s">
        <v>177</v>
      </c>
      <c r="F37" s="2" t="s">
        <v>17</v>
      </c>
      <c r="G37" s="2" t="s">
        <v>19</v>
      </c>
      <c r="H37" s="2" t="s">
        <v>18</v>
      </c>
      <c r="I37" s="2" t="s">
        <v>19</v>
      </c>
      <c r="J37" s="2" t="s">
        <v>19</v>
      </c>
      <c r="K37" s="2">
        <v>2500.0</v>
      </c>
      <c r="L37" s="2" t="s">
        <v>178</v>
      </c>
    </row>
    <row r="38" ht="15.75" customHeight="1">
      <c r="A38" s="2" t="s">
        <v>179</v>
      </c>
      <c r="B38" s="2" t="s">
        <v>174</v>
      </c>
      <c r="C38" s="2" t="s">
        <v>180</v>
      </c>
      <c r="D38" s="2" t="s">
        <v>181</v>
      </c>
      <c r="E38" s="2" t="s">
        <v>182</v>
      </c>
      <c r="F38" s="2" t="s">
        <v>17</v>
      </c>
      <c r="G38" s="2" t="s">
        <v>19</v>
      </c>
      <c r="H38" s="2" t="s">
        <v>18</v>
      </c>
      <c r="I38" s="2" t="s">
        <v>18</v>
      </c>
      <c r="J38" s="2" t="s">
        <v>19</v>
      </c>
      <c r="K38" s="2">
        <v>2500.0</v>
      </c>
      <c r="L38" s="2" t="s">
        <v>183</v>
      </c>
    </row>
    <row r="39" ht="15.75" customHeight="1">
      <c r="A39" s="2" t="s">
        <v>184</v>
      </c>
      <c r="B39" s="2" t="s">
        <v>174</v>
      </c>
      <c r="C39" s="2" t="s">
        <v>185</v>
      </c>
      <c r="D39" s="2" t="s">
        <v>186</v>
      </c>
      <c r="E39" s="2" t="s">
        <v>182</v>
      </c>
      <c r="F39" s="2" t="s">
        <v>17</v>
      </c>
      <c r="G39" s="2" t="s">
        <v>19</v>
      </c>
      <c r="H39" s="2" t="s">
        <v>18</v>
      </c>
      <c r="I39" s="2" t="s">
        <v>18</v>
      </c>
      <c r="J39" s="2" t="s">
        <v>19</v>
      </c>
      <c r="K39" s="2">
        <v>2500.0</v>
      </c>
      <c r="L39" s="2" t="s">
        <v>187</v>
      </c>
    </row>
    <row r="40" ht="15.75" customHeight="1">
      <c r="A40" s="2" t="s">
        <v>188</v>
      </c>
      <c r="B40" s="2" t="s">
        <v>13</v>
      </c>
      <c r="C40" s="2" t="s">
        <v>189</v>
      </c>
      <c r="D40" s="2" t="s">
        <v>190</v>
      </c>
      <c r="E40" s="2" t="s">
        <v>191</v>
      </c>
      <c r="F40" s="2" t="s">
        <v>17</v>
      </c>
      <c r="G40" s="2" t="s">
        <v>18</v>
      </c>
      <c r="H40" s="2" t="s">
        <v>18</v>
      </c>
      <c r="I40" s="2" t="s">
        <v>18</v>
      </c>
      <c r="J40" s="2" t="s">
        <v>19</v>
      </c>
      <c r="K40" s="2">
        <v>2000.0</v>
      </c>
      <c r="L40" s="2" t="s">
        <v>192</v>
      </c>
    </row>
    <row r="41" ht="15.75" customHeight="1">
      <c r="A41" s="2" t="s">
        <v>193</v>
      </c>
      <c r="B41" s="2" t="s">
        <v>174</v>
      </c>
      <c r="C41" s="2" t="s">
        <v>194</v>
      </c>
      <c r="D41" s="2" t="s">
        <v>195</v>
      </c>
      <c r="E41" s="2" t="s">
        <v>196</v>
      </c>
      <c r="F41" s="2" t="s">
        <v>17</v>
      </c>
      <c r="G41" s="2" t="s">
        <v>19</v>
      </c>
      <c r="H41" s="2" t="s">
        <v>18</v>
      </c>
      <c r="I41" s="2" t="s">
        <v>18</v>
      </c>
      <c r="J41" s="2" t="s">
        <v>19</v>
      </c>
      <c r="K41" s="2">
        <v>2500.0</v>
      </c>
      <c r="L41" s="2" t="s">
        <v>197</v>
      </c>
    </row>
    <row r="42" ht="15.75" customHeight="1">
      <c r="A42" s="2" t="s">
        <v>198</v>
      </c>
      <c r="B42" s="2" t="s">
        <v>174</v>
      </c>
      <c r="C42" s="2" t="s">
        <v>185</v>
      </c>
      <c r="D42" s="2" t="s">
        <v>199</v>
      </c>
      <c r="E42" s="2" t="s">
        <v>200</v>
      </c>
      <c r="F42" s="2" t="s">
        <v>17</v>
      </c>
      <c r="G42" s="2" t="s">
        <v>19</v>
      </c>
      <c r="H42" s="2" t="s">
        <v>18</v>
      </c>
      <c r="I42" s="2" t="s">
        <v>18</v>
      </c>
      <c r="J42" s="2" t="s">
        <v>19</v>
      </c>
      <c r="K42" s="2">
        <v>2000.0</v>
      </c>
      <c r="L42" s="2" t="s">
        <v>201</v>
      </c>
    </row>
    <row r="43" ht="15.75" customHeight="1">
      <c r="A43" s="2" t="s">
        <v>202</v>
      </c>
      <c r="B43" s="2" t="s">
        <v>121</v>
      </c>
      <c r="C43" s="2" t="s">
        <v>203</v>
      </c>
      <c r="D43" s="2" t="s">
        <v>204</v>
      </c>
      <c r="E43" s="2" t="s">
        <v>196</v>
      </c>
      <c r="F43" s="2" t="s">
        <v>124</v>
      </c>
      <c r="G43" s="2" t="s">
        <v>18</v>
      </c>
      <c r="H43" s="2" t="s">
        <v>18</v>
      </c>
      <c r="I43" s="2" t="s">
        <v>18</v>
      </c>
      <c r="J43" s="2" t="s">
        <v>19</v>
      </c>
      <c r="K43" s="2">
        <v>8000.0</v>
      </c>
      <c r="L43" s="2" t="s">
        <v>205</v>
      </c>
    </row>
    <row r="44" ht="15.75" customHeight="1">
      <c r="A44" s="2" t="s">
        <v>206</v>
      </c>
      <c r="B44" s="2" t="s">
        <v>207</v>
      </c>
      <c r="C44" s="2" t="s">
        <v>208</v>
      </c>
      <c r="D44" s="2" t="s">
        <v>209</v>
      </c>
      <c r="E44" s="2" t="s">
        <v>210</v>
      </c>
      <c r="F44" s="2" t="s">
        <v>211</v>
      </c>
      <c r="G44" s="2" t="s">
        <v>18</v>
      </c>
      <c r="H44" s="2" t="s">
        <v>18</v>
      </c>
      <c r="I44" s="2" t="s">
        <v>19</v>
      </c>
      <c r="J44" s="2" t="s">
        <v>19</v>
      </c>
      <c r="K44" s="2">
        <v>1000.0</v>
      </c>
      <c r="L44" s="2" t="s">
        <v>212</v>
      </c>
    </row>
    <row r="45" ht="15.75" customHeight="1">
      <c r="A45" s="2" t="s">
        <v>213</v>
      </c>
      <c r="B45" s="2" t="s">
        <v>207</v>
      </c>
      <c r="C45" s="2" t="s">
        <v>208</v>
      </c>
      <c r="D45" s="2" t="s">
        <v>214</v>
      </c>
      <c r="E45" s="2" t="s">
        <v>210</v>
      </c>
      <c r="F45" s="2" t="s">
        <v>211</v>
      </c>
      <c r="G45" s="2" t="s">
        <v>18</v>
      </c>
      <c r="H45" s="2" t="s">
        <v>18</v>
      </c>
      <c r="I45" s="2" t="s">
        <v>19</v>
      </c>
      <c r="J45" s="2" t="s">
        <v>19</v>
      </c>
      <c r="K45" s="2">
        <v>1000.0</v>
      </c>
      <c r="L45" s="2" t="s">
        <v>215</v>
      </c>
    </row>
    <row r="46" ht="15.75" customHeight="1">
      <c r="A46" s="2" t="s">
        <v>216</v>
      </c>
      <c r="B46" s="2" t="s">
        <v>13</v>
      </c>
      <c r="C46" s="2" t="s">
        <v>217</v>
      </c>
      <c r="D46" s="2" t="s">
        <v>218</v>
      </c>
      <c r="E46" s="2" t="s">
        <v>219</v>
      </c>
      <c r="F46" s="2" t="s">
        <v>17</v>
      </c>
      <c r="G46" s="2" t="s">
        <v>18</v>
      </c>
      <c r="H46" s="2" t="s">
        <v>18</v>
      </c>
      <c r="I46" s="2" t="s">
        <v>18</v>
      </c>
      <c r="J46" s="2" t="s">
        <v>19</v>
      </c>
      <c r="K46" s="2">
        <v>2500.0</v>
      </c>
      <c r="L46" s="2" t="s">
        <v>220</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6" width="27.14"/>
    <col customWidth="1" min="17" max="17" width="31.43"/>
    <col customWidth="1" min="18" max="34" width="27.14"/>
    <col customWidth="1" min="35" max="35" width="17.14"/>
    <col customWidth="1" min="36" max="36" width="22.29"/>
  </cols>
  <sheetData>
    <row r="1">
      <c r="A1" s="3" t="s">
        <v>221</v>
      </c>
      <c r="B1" s="3" t="s">
        <v>222</v>
      </c>
      <c r="C1" s="3" t="s">
        <v>223</v>
      </c>
      <c r="D1" s="3" t="s">
        <v>224</v>
      </c>
      <c r="E1" s="3" t="s">
        <v>0</v>
      </c>
      <c r="F1" s="3" t="s">
        <v>3</v>
      </c>
      <c r="G1" s="3" t="s">
        <v>225</v>
      </c>
      <c r="H1" s="3" t="s">
        <v>5</v>
      </c>
      <c r="I1" s="3" t="s">
        <v>6</v>
      </c>
      <c r="J1" s="3" t="s">
        <v>7</v>
      </c>
      <c r="K1" s="3" t="s">
        <v>8</v>
      </c>
      <c r="L1" s="3" t="s">
        <v>9</v>
      </c>
      <c r="M1" s="3" t="s">
        <v>10</v>
      </c>
      <c r="N1" s="3" t="s">
        <v>226</v>
      </c>
      <c r="O1" s="3" t="s">
        <v>227</v>
      </c>
      <c r="P1" s="3" t="s">
        <v>228</v>
      </c>
      <c r="Q1" s="4" t="s">
        <v>229</v>
      </c>
      <c r="R1" s="3" t="s">
        <v>230</v>
      </c>
      <c r="S1" s="3" t="s">
        <v>231</v>
      </c>
      <c r="T1" s="3" t="s">
        <v>232</v>
      </c>
      <c r="U1" s="3" t="s">
        <v>233</v>
      </c>
      <c r="V1" s="3" t="s">
        <v>234</v>
      </c>
      <c r="W1" s="3" t="s">
        <v>235</v>
      </c>
      <c r="X1" s="3" t="s">
        <v>236</v>
      </c>
      <c r="Y1" s="3" t="s">
        <v>237</v>
      </c>
      <c r="Z1" s="3" t="s">
        <v>238</v>
      </c>
      <c r="AA1" s="3" t="s">
        <v>239</v>
      </c>
      <c r="AB1" s="3" t="s">
        <v>11</v>
      </c>
      <c r="AC1" s="3" t="s">
        <v>240</v>
      </c>
      <c r="AD1" s="3" t="s">
        <v>241</v>
      </c>
      <c r="AE1" s="3" t="s">
        <v>242</v>
      </c>
      <c r="AF1" s="3" t="s">
        <v>243</v>
      </c>
      <c r="AG1" s="3" t="s">
        <v>244</v>
      </c>
      <c r="AH1" s="3" t="s">
        <v>245</v>
      </c>
      <c r="AI1" s="3" t="s">
        <v>246</v>
      </c>
      <c r="AJ1" s="5" t="s">
        <v>247</v>
      </c>
    </row>
    <row r="2" ht="17.25" customHeight="1">
      <c r="A2" s="6">
        <v>1.63901032026E11</v>
      </c>
      <c r="B2" s="7">
        <v>46025.0</v>
      </c>
      <c r="C2" s="6" t="s">
        <v>248</v>
      </c>
      <c r="D2" s="8" t="s">
        <v>13</v>
      </c>
      <c r="E2" s="6" t="s">
        <v>12</v>
      </c>
      <c r="F2" s="9" t="str">
        <f>IF($E2="","",VLOOKUP($E2,Benchmark_URLs!$A$2:$L$46,4,FALSE))</f>
        <v>https://www.federalreserve.gov/supervisionreg.htm</v>
      </c>
      <c r="G2" s="10"/>
      <c r="H2" s="10" t="str">
        <f>IF($E2="","",VLOOKUP($E2,Benchmark_URLs!$A$2:$L$46,6,FALSE))</f>
        <v>html</v>
      </c>
      <c r="I2" s="10" t="str">
        <f>IF($E2="","",VLOOKUP($E2,Benchmark_URLs!$A$2:$L$46,7,FALSE))</f>
        <v>N</v>
      </c>
      <c r="J2" s="10" t="str">
        <f>IF($E2="","",VLOOKUP($E2,Benchmark_URLs!$A$2:$L$46,8,FALSE))</f>
        <v>N</v>
      </c>
      <c r="K2" s="10" t="str">
        <f>IF($E2="","",VLOOKUP($E2,Benchmark_URLs!$A$2:$L$46,9,FALSE))</f>
        <v>N</v>
      </c>
      <c r="L2" s="10" t="str">
        <f>IF($E2="","",VLOOKUP($E2,Benchmark_URLs!$A$2:$L$46,10,FALSE))</f>
        <v>Y</v>
      </c>
      <c r="M2" s="10">
        <f>IF($E2="","",VLOOKUP($E2,Benchmark_URLs!$A$2:$L$46,11,FALSE))</f>
        <v>4000</v>
      </c>
      <c r="N2" s="11">
        <v>200.0</v>
      </c>
      <c r="O2" s="11">
        <v>1.0</v>
      </c>
      <c r="P2" s="11">
        <v>0.0</v>
      </c>
      <c r="Q2" s="12">
        <v>1590.0</v>
      </c>
      <c r="R2" s="12">
        <v>1590.0</v>
      </c>
      <c r="S2" s="12">
        <v>0.0</v>
      </c>
      <c r="T2" s="11">
        <v>1.0</v>
      </c>
      <c r="U2" s="11">
        <v>1.0</v>
      </c>
      <c r="V2" s="11">
        <v>0.0</v>
      </c>
      <c r="W2" s="12">
        <v>0.0</v>
      </c>
      <c r="X2" s="12"/>
      <c r="Y2" s="13">
        <v>0.3</v>
      </c>
      <c r="Z2" s="13">
        <v>2.0</v>
      </c>
      <c r="AA2" s="10"/>
      <c r="AB2" s="10"/>
      <c r="AC2" s="14">
        <v>1.0</v>
      </c>
      <c r="AD2" s="15">
        <f t="shared" ref="AD2:AD250" si="1">IF($E2="","",IFERROR(AVERAGE($T2,IF($L2="Y",$U2,1),$V2),""))</f>
        <v>0.6666666667</v>
      </c>
      <c r="AE2" s="16">
        <f t="shared" ref="AE2:AE45" si="2">IF($E2="","",IFERROR(IF($Q2&gt;=$M2,1,0),0))</f>
        <v>0</v>
      </c>
      <c r="AF2" s="16">
        <f>IF($E2="","",IF($H2="pdf",IFERROR(IF($X2&gt;=Weights!$B$10,1,0),0),1))</f>
        <v>1</v>
      </c>
      <c r="AG2" s="16">
        <f t="shared" ref="AG2:AG17" si="3">IF($E2="","",IF($I2="Y",IFERROR($P2,0),1))</f>
        <v>1</v>
      </c>
      <c r="AH2" s="15">
        <f>IF($E2="","",IFERROR((Weights!$B$2*$O2 + Weights!$B$3*$AE2 + Weights!$B$4*$AD2 + Weights!$B$5*(1-$AC2) + Weights!$B$6*$AF2 + Weights!$B$7*$AG2)/SUM(Weights!$B$2:$B$7),"" ))</f>
        <v>0.55</v>
      </c>
      <c r="AI2" s="15">
        <f>IF($E2="","",IF($O2=0,0,IFERROR($AH2/MAX(Weights!$B$8,$Y2)/MAX(Weights!$B$9,IF($Z2="",0,$Z2)), "")))</f>
        <v>0.9166666667</v>
      </c>
      <c r="AJ2" s="17"/>
    </row>
    <row r="3" ht="18.0" customHeight="1">
      <c r="A3" s="6">
        <v>1.70801032026E11</v>
      </c>
      <c r="B3" s="7">
        <v>46025.0</v>
      </c>
      <c r="C3" s="6" t="s">
        <v>248</v>
      </c>
      <c r="D3" s="8" t="s">
        <v>13</v>
      </c>
      <c r="E3" s="6" t="s">
        <v>21</v>
      </c>
      <c r="F3" s="9" t="str">
        <f>IF($E3="","",VLOOKUP($E3,Benchmark_URLs!$A$2:$L$46,4,FALSE))</f>
        <v>https://www.occ.treas.gov/publications-and-resources/publications/comptrollers-handbook/index-comptrollers-handbook.html</v>
      </c>
      <c r="G3" s="10"/>
      <c r="H3" s="10" t="str">
        <f>IF($E3="","",VLOOKUP($E3,Benchmark_URLs!$A$2:$L$46,6,FALSE))</f>
        <v>html</v>
      </c>
      <c r="I3" s="10" t="str">
        <f>IF($E3="","",VLOOKUP($E3,Benchmark_URLs!$A$2:$L$46,7,FALSE))</f>
        <v>N</v>
      </c>
      <c r="J3" s="10" t="str">
        <f>IF($E3="","",VLOOKUP($E3,Benchmark_URLs!$A$2:$L$46,8,FALSE))</f>
        <v>N</v>
      </c>
      <c r="K3" s="10" t="str">
        <f>IF($E3="","",VLOOKUP($E3,Benchmark_URLs!$A$2:$L$46,9,FALSE))</f>
        <v>N</v>
      </c>
      <c r="L3" s="10" t="str">
        <f>IF($E3="","",VLOOKUP($E3,Benchmark_URLs!$A$2:$L$46,10,FALSE))</f>
        <v>Y</v>
      </c>
      <c r="M3" s="10">
        <f>IF($E3="","",VLOOKUP($E3,Benchmark_URLs!$A$2:$L$46,11,FALSE))</f>
        <v>3000</v>
      </c>
      <c r="N3" s="11">
        <v>200.0</v>
      </c>
      <c r="O3" s="11">
        <v>1.0</v>
      </c>
      <c r="P3" s="11">
        <v>0.0</v>
      </c>
      <c r="Q3" s="12">
        <v>7502.0</v>
      </c>
      <c r="R3" s="12">
        <v>7502.0</v>
      </c>
      <c r="S3" s="12">
        <v>0.0</v>
      </c>
      <c r="T3" s="11">
        <v>1.0</v>
      </c>
      <c r="U3" s="11">
        <v>1.0</v>
      </c>
      <c r="V3" s="11">
        <v>0.0</v>
      </c>
      <c r="W3" s="12">
        <v>0.0</v>
      </c>
      <c r="X3" s="12"/>
      <c r="Y3" s="13">
        <v>0.3</v>
      </c>
      <c r="Z3" s="13">
        <v>2.0</v>
      </c>
      <c r="AA3" s="10"/>
      <c r="AB3" s="10"/>
      <c r="AC3" s="14">
        <v>1.0</v>
      </c>
      <c r="AD3" s="15">
        <f t="shared" si="1"/>
        <v>0.6666666667</v>
      </c>
      <c r="AE3" s="16">
        <f t="shared" si="2"/>
        <v>1</v>
      </c>
      <c r="AF3" s="16">
        <f>IF($E3="","",IF($H3="pdf",IFERROR(IF($X3&gt;=Weights!$B$10,1,0),0),1))</f>
        <v>1</v>
      </c>
      <c r="AG3" s="16">
        <f t="shared" si="3"/>
        <v>1</v>
      </c>
      <c r="AH3" s="15">
        <f>IF($E3="","",IFERROR((Weights!$B$2*$O3 + Weights!$B$3*$AE3 + Weights!$B$4*$AD3 + Weights!$B$5*(1-$AC3) + Weights!$B$6*$AF3 + Weights!$B$7*$AG3)/SUM(Weights!$B$2:$B$7),"" ))</f>
        <v>0.8</v>
      </c>
      <c r="AI3" s="15">
        <f>IF($E3="","",IF($O3=0,0,IFERROR($AH3/MAX(Weights!$B$8,$Y3)/MAX(Weights!$B$9,IF($Z3="",0,$Z3)), "")))</f>
        <v>1.333333333</v>
      </c>
      <c r="AJ3" s="17"/>
    </row>
    <row r="4" ht="17.25" customHeight="1">
      <c r="A4" s="6">
        <v>1.71401032026E11</v>
      </c>
      <c r="B4" s="7">
        <v>46025.0</v>
      </c>
      <c r="C4" s="6" t="s">
        <v>248</v>
      </c>
      <c r="D4" s="8" t="s">
        <v>13</v>
      </c>
      <c r="E4" s="6" t="s">
        <v>26</v>
      </c>
      <c r="F4" s="9" t="str">
        <f>IF($E4="","",VLOOKUP($E4,Benchmark_URLs!$A$2:$L$46,4,FALSE))</f>
        <v>https://www.fdic.gov/bank-examinations/examination-manuals</v>
      </c>
      <c r="G4" s="10"/>
      <c r="H4" s="10" t="str">
        <f>IF($E4="","",VLOOKUP($E4,Benchmark_URLs!$A$2:$L$46,6,FALSE))</f>
        <v>html</v>
      </c>
      <c r="I4" s="10" t="str">
        <f>IF($E4="","",VLOOKUP($E4,Benchmark_URLs!$A$2:$L$46,7,FALSE))</f>
        <v>N</v>
      </c>
      <c r="J4" s="10" t="str">
        <f>IF($E4="","",VLOOKUP($E4,Benchmark_URLs!$A$2:$L$46,8,FALSE))</f>
        <v>N</v>
      </c>
      <c r="K4" s="10" t="str">
        <f>IF($E4="","",VLOOKUP($E4,Benchmark_URLs!$A$2:$L$46,9,FALSE))</f>
        <v>N</v>
      </c>
      <c r="L4" s="10" t="str">
        <f>IF($E4="","",VLOOKUP($E4,Benchmark_URLs!$A$2:$L$46,10,FALSE))</f>
        <v>Y</v>
      </c>
      <c r="M4" s="10">
        <f>IF($E4="","",VLOOKUP($E4,Benchmark_URLs!$A$2:$L$46,11,FALSE))</f>
        <v>2000</v>
      </c>
      <c r="N4" s="11">
        <v>200.0</v>
      </c>
      <c r="O4" s="11">
        <v>1.0</v>
      </c>
      <c r="P4" s="11">
        <v>0.0</v>
      </c>
      <c r="Q4" s="12">
        <v>1400.0</v>
      </c>
      <c r="R4" s="12">
        <v>1400.0</v>
      </c>
      <c r="S4" s="12">
        <v>0.0</v>
      </c>
      <c r="T4" s="11">
        <v>1.0</v>
      </c>
      <c r="U4" s="11">
        <v>1.0</v>
      </c>
      <c r="V4" s="11">
        <v>0.0</v>
      </c>
      <c r="W4" s="12">
        <v>0.0</v>
      </c>
      <c r="X4" s="12"/>
      <c r="Y4" s="13">
        <v>0.475</v>
      </c>
      <c r="Z4" s="13">
        <v>2.0</v>
      </c>
      <c r="AA4" s="10"/>
      <c r="AB4" s="10"/>
      <c r="AC4" s="14">
        <v>1.0</v>
      </c>
      <c r="AD4" s="15">
        <f t="shared" si="1"/>
        <v>0.6666666667</v>
      </c>
      <c r="AE4" s="16">
        <f t="shared" si="2"/>
        <v>0</v>
      </c>
      <c r="AF4" s="16">
        <f>IF($E4="","",IF($H4="pdf",IFERROR(IF($X4&gt;=Weights!$B$10,1,0),0),1))</f>
        <v>1</v>
      </c>
      <c r="AG4" s="16">
        <f t="shared" si="3"/>
        <v>1</v>
      </c>
      <c r="AH4" s="15">
        <f>IF($E4="","",IFERROR((Weights!$B$2*$O4 + Weights!$B$3*$AE4 + Weights!$B$4*$AD4 + Weights!$B$5*(1-$AC4) + Weights!$B$6*$AF4 + Weights!$B$7*$AG4)/SUM(Weights!$B$2:$B$7),"" ))</f>
        <v>0.55</v>
      </c>
      <c r="AI4" s="15">
        <f>IF($E4="","",IF($O4=0,0,IFERROR($AH4/MAX(Weights!$B$8,$Y4)/MAX(Weights!$B$9,IF($Z4="",0,$Z4)), "")))</f>
        <v>0.5789473684</v>
      </c>
      <c r="AJ4" s="17"/>
    </row>
    <row r="5" ht="17.25" customHeight="1">
      <c r="A5" s="6">
        <v>1.72101032026E11</v>
      </c>
      <c r="B5" s="7">
        <v>46025.0</v>
      </c>
      <c r="C5" s="6" t="s">
        <v>248</v>
      </c>
      <c r="D5" s="8" t="s">
        <v>32</v>
      </c>
      <c r="E5" s="8" t="s">
        <v>31</v>
      </c>
      <c r="F5" s="9" t="str">
        <f>IF($E5="","",VLOOKUP($E5,Benchmark_URLs!$A$2:$L$46,4,FALSE))</f>
        <v>https://www.sec.gov/data-research/sec-markets-data/form-n-port-data-sets</v>
      </c>
      <c r="G5" s="10"/>
      <c r="H5" s="10" t="str">
        <f>IF($E5="","",VLOOKUP($E5,Benchmark_URLs!$A$2:$L$46,6,FALSE))</f>
        <v>html</v>
      </c>
      <c r="I5" s="10" t="str">
        <f>IF($E5="","",VLOOKUP($E5,Benchmark_URLs!$A$2:$L$46,7,FALSE))</f>
        <v>N</v>
      </c>
      <c r="J5" s="10" t="str">
        <f>IF($E5="","",VLOOKUP($E5,Benchmark_URLs!$A$2:$L$46,8,FALSE))</f>
        <v>Y</v>
      </c>
      <c r="K5" s="10" t="str">
        <f>IF($E5="","",VLOOKUP($E5,Benchmark_URLs!$A$2:$L$46,9,FALSE))</f>
        <v>N</v>
      </c>
      <c r="L5" s="10" t="str">
        <f>IF($E5="","",VLOOKUP($E5,Benchmark_URLs!$A$2:$L$46,10,FALSE))</f>
        <v>Y</v>
      </c>
      <c r="M5" s="10">
        <f>IF($E5="","",VLOOKUP($E5,Benchmark_URLs!$A$2:$L$46,11,FALSE))</f>
        <v>2000</v>
      </c>
      <c r="N5" s="11">
        <v>200.0</v>
      </c>
      <c r="O5" s="11">
        <v>1.0</v>
      </c>
      <c r="P5" s="11">
        <v>0.0</v>
      </c>
      <c r="Q5" s="12">
        <v>2200.0</v>
      </c>
      <c r="R5" s="12">
        <v>2200.0</v>
      </c>
      <c r="S5" s="12">
        <v>0.0</v>
      </c>
      <c r="T5" s="11">
        <v>1.0</v>
      </c>
      <c r="U5" s="11">
        <v>1.0</v>
      </c>
      <c r="V5" s="11">
        <v>0.0</v>
      </c>
      <c r="W5" s="12">
        <v>0.0</v>
      </c>
      <c r="X5" s="12"/>
      <c r="Y5" s="13">
        <v>0.889</v>
      </c>
      <c r="Z5" s="13">
        <v>2.0</v>
      </c>
      <c r="AA5" s="10"/>
      <c r="AB5" s="10"/>
      <c r="AC5" s="14">
        <v>1.0</v>
      </c>
      <c r="AD5" s="15">
        <f t="shared" si="1"/>
        <v>0.6666666667</v>
      </c>
      <c r="AE5" s="16">
        <f t="shared" si="2"/>
        <v>1</v>
      </c>
      <c r="AF5" s="16">
        <f>IF($E5="","",IF($H5="pdf",IFERROR(IF($X5&gt;=Weights!$B$10,1,0),0),1))</f>
        <v>1</v>
      </c>
      <c r="AG5" s="16">
        <f t="shared" si="3"/>
        <v>1</v>
      </c>
      <c r="AH5" s="15">
        <f>IF($E5="","",IFERROR((Weights!$B$2*$O5 + Weights!$B$3*$AE5 + Weights!$B$4*$AD5 + Weights!$B$5*(1-$AC5) + Weights!$B$6*$AF5 + Weights!$B$7*$AG5)/SUM(Weights!$B$2:$B$7),"" ))</f>
        <v>0.8</v>
      </c>
      <c r="AI5" s="15">
        <f>IF($E5="","",IF($O5=0,0,IFERROR($AH5/MAX(Weights!$B$8,$Y5)/MAX(Weights!$B$9,IF($Z5="",0,$Z5)), "")))</f>
        <v>0.449943757</v>
      </c>
      <c r="AJ5" s="17"/>
    </row>
    <row r="6" ht="15.75" customHeight="1">
      <c r="A6" s="6">
        <v>1.72601032026E11</v>
      </c>
      <c r="B6" s="7">
        <v>46025.0</v>
      </c>
      <c r="C6" s="6" t="s">
        <v>248</v>
      </c>
      <c r="D6" s="8" t="s">
        <v>32</v>
      </c>
      <c r="E6" s="8" t="s">
        <v>66</v>
      </c>
      <c r="F6" s="9" t="str">
        <f>IF($E6="","",VLOOKUP($E6,Benchmark_URLs!$A$2:$L$46,4,FALSE))</f>
        <v>https://fred.stlouisfed.org/series/GDP</v>
      </c>
      <c r="G6" s="10"/>
      <c r="H6" s="10" t="str">
        <f>IF($E6="","",VLOOKUP($E6,Benchmark_URLs!$A$2:$L$46,6,FALSE))</f>
        <v>html</v>
      </c>
      <c r="I6" s="10" t="str">
        <f>IF($E6="","",VLOOKUP($E6,Benchmark_URLs!$A$2:$L$46,7,FALSE))</f>
        <v>Y</v>
      </c>
      <c r="J6" s="10" t="str">
        <f>IF($E6="","",VLOOKUP($E6,Benchmark_URLs!$A$2:$L$46,8,FALSE))</f>
        <v>Y</v>
      </c>
      <c r="K6" s="10" t="str">
        <f>IF($E6="","",VLOOKUP($E6,Benchmark_URLs!$A$2:$L$46,9,FALSE))</f>
        <v>N</v>
      </c>
      <c r="L6" s="10" t="str">
        <f>IF($E6="","",VLOOKUP($E6,Benchmark_URLs!$A$2:$L$46,10,FALSE))</f>
        <v>Y</v>
      </c>
      <c r="M6" s="10">
        <f>IF($E6="","",VLOOKUP($E6,Benchmark_URLs!$A$2:$L$46,11,FALSE))</f>
        <v>2500</v>
      </c>
      <c r="N6" s="11">
        <v>200.0</v>
      </c>
      <c r="O6" s="11">
        <v>1.0</v>
      </c>
      <c r="P6" s="11">
        <v>0.0</v>
      </c>
      <c r="Q6" s="12">
        <v>1100.0</v>
      </c>
      <c r="R6" s="12">
        <v>1100.0</v>
      </c>
      <c r="S6" s="12">
        <v>0.0</v>
      </c>
      <c r="T6" s="11">
        <v>1.0</v>
      </c>
      <c r="U6" s="11">
        <v>0.0</v>
      </c>
      <c r="V6" s="11">
        <v>0.0</v>
      </c>
      <c r="W6" s="12">
        <v>0.0</v>
      </c>
      <c r="X6" s="12"/>
      <c r="Y6" s="13">
        <v>1.125</v>
      </c>
      <c r="Z6" s="13">
        <v>2.0</v>
      </c>
      <c r="AA6" s="10"/>
      <c r="AB6" s="10"/>
      <c r="AC6" s="14">
        <v>1.0</v>
      </c>
      <c r="AD6" s="15">
        <f t="shared" si="1"/>
        <v>0.3333333333</v>
      </c>
      <c r="AE6" s="16">
        <f t="shared" si="2"/>
        <v>0</v>
      </c>
      <c r="AF6" s="16">
        <f>IF($E6="","",IF($H6="pdf",IFERROR(IF($X6&gt;=Weights!$B$10,1,0),0),1))</f>
        <v>1</v>
      </c>
      <c r="AG6" s="16">
        <f t="shared" si="3"/>
        <v>0</v>
      </c>
      <c r="AH6" s="15">
        <f>IF($E6="","",IFERROR((Weights!$B$2*$O6 + Weights!$B$3*$AE6 + Weights!$B$4*$AD6 + Weights!$B$5*(1-$AC6) + Weights!$B$6*$AF6 + Weights!$B$7*$AG6)/SUM(Weights!$B$2:$B$7),"" ))</f>
        <v>0.45</v>
      </c>
      <c r="AI6" s="15">
        <f>IF($E6="","",IF($O6=0,0,IFERROR($AH6/MAX(Weights!$B$8,$Y6)/MAX(Weights!$B$9,IF($Z6="",0,$Z6)), "")))</f>
        <v>0.2</v>
      </c>
      <c r="AJ6" s="17"/>
    </row>
    <row r="7" ht="18.0" customHeight="1">
      <c r="A7" s="6">
        <v>1.75901032026E11</v>
      </c>
      <c r="B7" s="7">
        <v>46025.0</v>
      </c>
      <c r="C7" s="6" t="s">
        <v>248</v>
      </c>
      <c r="D7" s="8" t="s">
        <v>53</v>
      </c>
      <c r="E7" s="8" t="s">
        <v>52</v>
      </c>
      <c r="F7" s="9" t="str">
        <f>IF($E7="","",VLOOKUP($E7,Benchmark_URLs!$A$2:$L$46,4,FALSE))</f>
        <v>https://www.federalreserve.gov/newsevents/pressreleases.htm</v>
      </c>
      <c r="G7" s="10"/>
      <c r="H7" s="10" t="str">
        <f>IF($E7="","",VLOOKUP($E7,Benchmark_URLs!$A$2:$L$46,6,FALSE))</f>
        <v>html</v>
      </c>
      <c r="I7" s="10" t="str">
        <f>IF($E7="","",VLOOKUP($E7,Benchmark_URLs!$A$2:$L$46,7,FALSE))</f>
        <v>N</v>
      </c>
      <c r="J7" s="10" t="str">
        <f>IF($E7="","",VLOOKUP($E7,Benchmark_URLs!$A$2:$L$46,8,FALSE))</f>
        <v>N</v>
      </c>
      <c r="K7" s="10" t="str">
        <f>IF($E7="","",VLOOKUP($E7,Benchmark_URLs!$A$2:$L$46,9,FALSE))</f>
        <v>Y</v>
      </c>
      <c r="L7" s="10" t="str">
        <f>IF($E7="","",VLOOKUP($E7,Benchmark_URLs!$A$2:$L$46,10,FALSE))</f>
        <v>Y</v>
      </c>
      <c r="M7" s="10">
        <f>IF($E7="","",VLOOKUP($E7,Benchmark_URLs!$A$2:$L$46,11,FALSE))</f>
        <v>2000</v>
      </c>
      <c r="N7" s="11">
        <v>200.0</v>
      </c>
      <c r="O7" s="11">
        <v>1.0</v>
      </c>
      <c r="P7" s="11">
        <v>0.0</v>
      </c>
      <c r="Q7" s="12">
        <v>217.0</v>
      </c>
      <c r="R7" s="12">
        <v>217.0</v>
      </c>
      <c r="S7" s="12">
        <v>0.0</v>
      </c>
      <c r="T7" s="11">
        <v>1.0</v>
      </c>
      <c r="U7" s="11">
        <v>0.0</v>
      </c>
      <c r="V7" s="11">
        <v>0.0</v>
      </c>
      <c r="W7" s="12">
        <v>0.0</v>
      </c>
      <c r="X7" s="12"/>
      <c r="Y7" s="13">
        <v>1.265</v>
      </c>
      <c r="Z7" s="13">
        <v>2.0</v>
      </c>
      <c r="AA7" s="10"/>
      <c r="AB7" s="10"/>
      <c r="AC7" s="14">
        <v>1.0</v>
      </c>
      <c r="AD7" s="15">
        <f t="shared" si="1"/>
        <v>0.3333333333</v>
      </c>
      <c r="AE7" s="16">
        <f t="shared" si="2"/>
        <v>0</v>
      </c>
      <c r="AF7" s="11">
        <v>1.0</v>
      </c>
      <c r="AG7" s="16">
        <f t="shared" si="3"/>
        <v>1</v>
      </c>
      <c r="AH7" s="15">
        <f>IF($E7="","",IFERROR((Weights!$B$2*$O7 + Weights!$B$3*$AE7 + Weights!$B$4*$AD7 + Weights!$B$5*(1-$AC7) + Weights!$B$6*$AF7 + Weights!$B$7*$AG7)/SUM(Weights!$B$2:$B$7),"" ))</f>
        <v>0.5</v>
      </c>
      <c r="AI7" s="15">
        <f>IF($E7="","",IF($O7=0,0,IFERROR($AH7/MAX(Weights!$B$8,$Y7)/MAX(Weights!$B$9,IF($Z7="",0,$Z7)), "")))</f>
        <v>0.1976284585</v>
      </c>
      <c r="AJ7" s="18" t="s">
        <v>249</v>
      </c>
    </row>
    <row r="8" ht="17.25" customHeight="1">
      <c r="A8" s="6">
        <v>1.81601032026E11</v>
      </c>
      <c r="B8" s="7">
        <v>46025.0</v>
      </c>
      <c r="C8" s="6" t="s">
        <v>248</v>
      </c>
      <c r="D8" s="8" t="s">
        <v>53</v>
      </c>
      <c r="E8" s="6" t="s">
        <v>57</v>
      </c>
      <c r="F8" s="9" t="str">
        <f>IF($E8="","",VLOOKUP($E8,Benchmark_URLs!$A$2:$L$46,4,FALSE))</f>
        <v>https://www.federalreserve.gov/newsevents/pressreleases/2025-press.htm</v>
      </c>
      <c r="G8" s="10"/>
      <c r="H8" s="10" t="str">
        <f>IF($E8="","",VLOOKUP($E8,Benchmark_URLs!$A$2:$L$46,6,FALSE))</f>
        <v>html</v>
      </c>
      <c r="I8" s="10" t="str">
        <f>IF($E8="","",VLOOKUP($E8,Benchmark_URLs!$A$2:$L$46,7,FALSE))</f>
        <v>N</v>
      </c>
      <c r="J8" s="10" t="str">
        <f>IF($E8="","",VLOOKUP($E8,Benchmark_URLs!$A$2:$L$46,8,FALSE))</f>
        <v>N</v>
      </c>
      <c r="K8" s="10" t="str">
        <f>IF($E8="","",VLOOKUP($E8,Benchmark_URLs!$A$2:$L$46,9,FALSE))</f>
        <v>Y</v>
      </c>
      <c r="L8" s="10" t="str">
        <f>IF($E8="","",VLOOKUP($E8,Benchmark_URLs!$A$2:$L$46,10,FALSE))</f>
        <v>Y</v>
      </c>
      <c r="M8" s="10">
        <f>IF($E8="","",VLOOKUP($E8,Benchmark_URLs!$A$2:$L$46,11,FALSE))</f>
        <v>2000</v>
      </c>
      <c r="N8" s="11">
        <v>200.0</v>
      </c>
      <c r="O8" s="11">
        <v>1.0</v>
      </c>
      <c r="P8" s="11">
        <v>0.0</v>
      </c>
      <c r="Q8" s="12">
        <v>303.0</v>
      </c>
      <c r="R8" s="12">
        <v>303.0</v>
      </c>
      <c r="S8" s="12">
        <v>0.0</v>
      </c>
      <c r="T8" s="11">
        <v>1.0</v>
      </c>
      <c r="U8" s="11">
        <v>0.0</v>
      </c>
      <c r="V8" s="11">
        <v>0.0</v>
      </c>
      <c r="W8" s="12">
        <v>0.0</v>
      </c>
      <c r="X8" s="12"/>
      <c r="Y8" s="13">
        <v>0.569</v>
      </c>
      <c r="Z8" s="13">
        <v>2.0</v>
      </c>
      <c r="AA8" s="10"/>
      <c r="AB8" s="10"/>
      <c r="AC8" s="14">
        <v>1.0</v>
      </c>
      <c r="AD8" s="15">
        <f t="shared" si="1"/>
        <v>0.3333333333</v>
      </c>
      <c r="AE8" s="16">
        <f t="shared" si="2"/>
        <v>0</v>
      </c>
      <c r="AF8" s="16">
        <f>IF($E8="","",IF($H8="pdf",IFERROR(IF($X8&gt;=Weights!$B$10,1,0),0),1))</f>
        <v>1</v>
      </c>
      <c r="AG8" s="16">
        <f t="shared" si="3"/>
        <v>1</v>
      </c>
      <c r="AH8" s="15">
        <f>IF($E8="","",IFERROR((Weights!$B$2*$O8 + Weights!$B$3*$AE8 + Weights!$B$4*$AD8 + Weights!$B$5*(1-$AC8) + Weights!$B$6*$AF8 + Weights!$B$7*$AG8)/SUM(Weights!$B$2:$B$7),"" ))</f>
        <v>0.5</v>
      </c>
      <c r="AI8" s="15">
        <f>IF($E8="","",IF($O8=0,0,IFERROR($AH8/MAX(Weights!$B$8,$Y8)/MAX(Weights!$B$9,IF($Z8="",0,$Z8)), "")))</f>
        <v>0.4393673111</v>
      </c>
      <c r="AJ8" s="17"/>
    </row>
    <row r="9">
      <c r="A9" s="6">
        <v>1.82101032026E11</v>
      </c>
      <c r="B9" s="7">
        <v>46025.0</v>
      </c>
      <c r="C9" s="6" t="s">
        <v>248</v>
      </c>
      <c r="D9" s="8" t="s">
        <v>85</v>
      </c>
      <c r="E9" s="6" t="s">
        <v>84</v>
      </c>
      <c r="F9" s="9" t="str">
        <f>IF($E9="","",VLOOKUP($E9,Benchmark_URLs!$A$2:$L$46,4,FALSE))</f>
        <v>https://react.dev/learn</v>
      </c>
      <c r="G9" s="10"/>
      <c r="H9" s="10" t="str">
        <f>IF($E9="","",VLOOKUP($E9,Benchmark_URLs!$A$2:$L$46,6,FALSE))</f>
        <v>html</v>
      </c>
      <c r="I9" s="10" t="str">
        <f>IF($E9="","",VLOOKUP($E9,Benchmark_URLs!$A$2:$L$46,7,FALSE))</f>
        <v>Y</v>
      </c>
      <c r="J9" s="10" t="str">
        <f>IF($E9="","",VLOOKUP($E9,Benchmark_URLs!$A$2:$L$46,8,FALSE))</f>
        <v>N</v>
      </c>
      <c r="K9" s="10" t="str">
        <f>IF($E9="","",VLOOKUP($E9,Benchmark_URLs!$A$2:$L$46,9,FALSE))</f>
        <v>N</v>
      </c>
      <c r="L9" s="10" t="str">
        <f>IF($E9="","",VLOOKUP($E9,Benchmark_URLs!$A$2:$L$46,10,FALSE))</f>
        <v>Y</v>
      </c>
      <c r="M9" s="10">
        <f>IF($E9="","",VLOOKUP($E9,Benchmark_URLs!$A$2:$L$46,11,FALSE))</f>
        <v>3000</v>
      </c>
      <c r="N9" s="11">
        <v>200.0</v>
      </c>
      <c r="O9" s="11">
        <v>1.0</v>
      </c>
      <c r="P9" s="11">
        <v>0.0</v>
      </c>
      <c r="Q9" s="12">
        <v>9800.0</v>
      </c>
      <c r="R9" s="12">
        <v>9800.0</v>
      </c>
      <c r="S9" s="12">
        <v>0.0</v>
      </c>
      <c r="T9" s="11">
        <v>1.0</v>
      </c>
      <c r="U9" s="11">
        <v>0.0</v>
      </c>
      <c r="V9" s="11">
        <v>0.0</v>
      </c>
      <c r="W9" s="12">
        <v>0.0</v>
      </c>
      <c r="X9" s="12"/>
      <c r="Y9" s="13">
        <v>2.543</v>
      </c>
      <c r="Z9" s="13">
        <v>2.0</v>
      </c>
      <c r="AA9" s="10"/>
      <c r="AB9" s="10"/>
      <c r="AC9" s="14">
        <v>1.0</v>
      </c>
      <c r="AD9" s="15">
        <f t="shared" si="1"/>
        <v>0.3333333333</v>
      </c>
      <c r="AE9" s="16">
        <f t="shared" si="2"/>
        <v>1</v>
      </c>
      <c r="AF9" s="16">
        <f>IF($E9="","",IF($H9="pdf",IFERROR(IF($X9&gt;=Weights!$B$10,1,0),0),1))</f>
        <v>1</v>
      </c>
      <c r="AG9" s="16">
        <f t="shared" si="3"/>
        <v>0</v>
      </c>
      <c r="AH9" s="15">
        <f>IF($E9="","",IFERROR((Weights!$B$2*$O9 + Weights!$B$3*$AE9 + Weights!$B$4*$AD9 + Weights!$B$5*(1-$AC9) + Weights!$B$6*$AF9 + Weights!$B$7*$AG9)/SUM(Weights!$B$2:$B$7),"" ))</f>
        <v>0.7</v>
      </c>
      <c r="AI9" s="15">
        <f>IF($E9="","",IF($O9=0,0,IFERROR($AH9/MAX(Weights!$B$8,$Y9)/MAX(Weights!$B$9,IF($Z9="",0,$Z9)), "")))</f>
        <v>0.1376327173</v>
      </c>
      <c r="AJ9" s="17"/>
    </row>
    <row r="10">
      <c r="A10" s="6">
        <v>1.82601032026E11</v>
      </c>
      <c r="B10" s="7">
        <v>46025.0</v>
      </c>
      <c r="C10" s="6" t="s">
        <v>248</v>
      </c>
      <c r="D10" s="8" t="s">
        <v>85</v>
      </c>
      <c r="E10" s="6" t="s">
        <v>90</v>
      </c>
      <c r="F10" s="9" t="str">
        <f>IF($E10="","",VLOOKUP($E10,Benchmark_URLs!$A$2:$L$46,4,FALSE))</f>
        <v>https://nextjs.org/docs</v>
      </c>
      <c r="G10" s="10"/>
      <c r="H10" s="10" t="str">
        <f>IF($E10="","",VLOOKUP($E10,Benchmark_URLs!$A$2:$L$46,6,FALSE))</f>
        <v>html</v>
      </c>
      <c r="I10" s="10" t="str">
        <f>IF($E10="","",VLOOKUP($E10,Benchmark_URLs!$A$2:$L$46,7,FALSE))</f>
        <v>Y</v>
      </c>
      <c r="J10" s="10" t="str">
        <f>IF($E10="","",VLOOKUP($E10,Benchmark_URLs!$A$2:$L$46,8,FALSE))</f>
        <v>N</v>
      </c>
      <c r="K10" s="10" t="str">
        <f>IF($E10="","",VLOOKUP($E10,Benchmark_URLs!$A$2:$L$46,9,FALSE))</f>
        <v>N</v>
      </c>
      <c r="L10" s="10" t="str">
        <f>IF($E10="","",VLOOKUP($E10,Benchmark_URLs!$A$2:$L$46,10,FALSE))</f>
        <v>Y</v>
      </c>
      <c r="M10" s="10">
        <f>IF($E10="","",VLOOKUP($E10,Benchmark_URLs!$A$2:$L$46,11,FALSE))</f>
        <v>3000</v>
      </c>
      <c r="N10" s="11">
        <v>404.0</v>
      </c>
      <c r="O10" s="11">
        <v>0.0</v>
      </c>
      <c r="P10" s="11">
        <v>0.0</v>
      </c>
      <c r="Q10" s="19"/>
      <c r="R10" s="19"/>
      <c r="S10" s="12">
        <v>0.0</v>
      </c>
      <c r="T10" s="11">
        <v>0.0</v>
      </c>
      <c r="U10" s="11">
        <v>0.0</v>
      </c>
      <c r="V10" s="11">
        <v>0.0</v>
      </c>
      <c r="W10" s="12">
        <v>0.0</v>
      </c>
      <c r="X10" s="12"/>
      <c r="Y10" s="13">
        <v>0.0</v>
      </c>
      <c r="Z10" s="20"/>
      <c r="AA10" s="10"/>
      <c r="AB10" s="10"/>
      <c r="AC10" s="14">
        <v>0.0</v>
      </c>
      <c r="AD10" s="15">
        <f t="shared" si="1"/>
        <v>0</v>
      </c>
      <c r="AE10" s="16">
        <f t="shared" si="2"/>
        <v>0</v>
      </c>
      <c r="AF10" s="16">
        <f>IF($E10="","",IF($H10="pdf",IFERROR(IF($X10&gt;=Weights!$B$10,1,0),0),1))</f>
        <v>1</v>
      </c>
      <c r="AG10" s="16">
        <f t="shared" si="3"/>
        <v>0</v>
      </c>
      <c r="AH10" s="15">
        <f>IF($E10="","",IFERROR((Weights!$B$2*$O10 + Weights!$B$3*$AE10 + Weights!$B$4*$AD10 + Weights!$B$5*(1-$AC10) + Weights!$B$6*$AF10 + Weights!$B$7*$AG10)/SUM(Weights!$B$2:$B$7),"" ))</f>
        <v>0.25</v>
      </c>
      <c r="AI10" s="15">
        <f>IF($E10="","",IF($O10=0,0,IFERROR($AH10/MAX(Weights!$B$8,$Y10)/MAX(Weights!$B$9,IF($Z10="",0,$Z10)), "")))</f>
        <v>0</v>
      </c>
      <c r="AJ10" s="17"/>
    </row>
    <row r="11">
      <c r="A11" s="6">
        <v>1.84501032026E11</v>
      </c>
      <c r="B11" s="7">
        <v>46025.0</v>
      </c>
      <c r="C11" s="6" t="s">
        <v>248</v>
      </c>
      <c r="D11" s="8" t="s">
        <v>85</v>
      </c>
      <c r="E11" s="6" t="s">
        <v>94</v>
      </c>
      <c r="F11" s="9" t="str">
        <f>IF($E11="","",VLOOKUP($E11,Benchmark_URLs!$A$2:$L$46,4,FALSE))</f>
        <v>https://learn.microsoft.com/en-us/azure/architecture/</v>
      </c>
      <c r="G11" s="10"/>
      <c r="H11" s="10" t="str">
        <f>IF($E11="","",VLOOKUP($E11,Benchmark_URLs!$A$2:$L$46,6,FALSE))</f>
        <v>html</v>
      </c>
      <c r="I11" s="10" t="str">
        <f>IF($E11="","",VLOOKUP($E11,Benchmark_URLs!$A$2:$L$46,7,FALSE))</f>
        <v>Y</v>
      </c>
      <c r="J11" s="10" t="str">
        <f>IF($E11="","",VLOOKUP($E11,Benchmark_URLs!$A$2:$L$46,8,FALSE))</f>
        <v>N</v>
      </c>
      <c r="K11" s="10" t="str">
        <f>IF($E11="","",VLOOKUP($E11,Benchmark_URLs!$A$2:$L$46,9,FALSE))</f>
        <v>N</v>
      </c>
      <c r="L11" s="10" t="str">
        <f>IF($E11="","",VLOOKUP($E11,Benchmark_URLs!$A$2:$L$46,10,FALSE))</f>
        <v>Y</v>
      </c>
      <c r="M11" s="10">
        <f>IF($E11="","",VLOOKUP($E11,Benchmark_URLs!$A$2:$L$46,11,FALSE))</f>
        <v>3000</v>
      </c>
      <c r="N11" s="11">
        <v>200.0</v>
      </c>
      <c r="O11" s="11">
        <v>1.0</v>
      </c>
      <c r="P11" s="11">
        <v>0.0</v>
      </c>
      <c r="Q11" s="12">
        <v>1100.0</v>
      </c>
      <c r="R11" s="12">
        <v>1100.0</v>
      </c>
      <c r="S11" s="12">
        <v>0.0</v>
      </c>
      <c r="T11" s="11">
        <v>1.0</v>
      </c>
      <c r="U11" s="11">
        <v>0.0</v>
      </c>
      <c r="V11" s="11">
        <v>1.0</v>
      </c>
      <c r="W11" s="12">
        <v>0.0</v>
      </c>
      <c r="X11" s="12"/>
      <c r="Y11" s="13">
        <v>0.782</v>
      </c>
      <c r="Z11" s="13">
        <v>2.0</v>
      </c>
      <c r="AA11" s="10"/>
      <c r="AB11" s="10"/>
      <c r="AC11" s="14">
        <v>1.0</v>
      </c>
      <c r="AD11" s="15">
        <f t="shared" si="1"/>
        <v>0.6666666667</v>
      </c>
      <c r="AE11" s="16">
        <f t="shared" si="2"/>
        <v>0</v>
      </c>
      <c r="AF11" s="11"/>
      <c r="AG11" s="16">
        <f t="shared" si="3"/>
        <v>0</v>
      </c>
      <c r="AH11" s="15">
        <f>IF($E11="","",IFERROR((Weights!$B$2*$O11 + Weights!$B$3*$AE11 + Weights!$B$4*$AD11 + Weights!$B$5*(1-$AC11) + Weights!$B$6*$AF11 + Weights!$B$7*$AG11)/SUM(Weights!$B$2:$B$7),"" ))</f>
        <v>0.4</v>
      </c>
      <c r="AI11" s="15">
        <f>IF($E11="","",IF($O11=0,0,IFERROR($AH11/MAX(Weights!$B$8,$Y11)/MAX(Weights!$B$9,IF($Z11="",0,$Z11)), "")))</f>
        <v>0.2557544757</v>
      </c>
      <c r="AJ11" s="18" t="s">
        <v>250</v>
      </c>
    </row>
    <row r="12">
      <c r="A12" s="6">
        <v>1.85101032026E11</v>
      </c>
      <c r="B12" s="7">
        <v>46025.0</v>
      </c>
      <c r="C12" s="6" t="s">
        <v>248</v>
      </c>
      <c r="D12" s="6" t="s">
        <v>121</v>
      </c>
      <c r="E12" s="6" t="s">
        <v>120</v>
      </c>
      <c r="F12" s="9" t="str">
        <f>IF($E12="","",VLOOKUP($E12,Benchmark_URLs!$A$2:$L$46,4,FALSE))</f>
        <v>https://www.federalreserve.gov/supervisionreg/srletters/sr1107.pdf</v>
      </c>
      <c r="G12" s="10"/>
      <c r="H12" s="10" t="str">
        <f>IF($E12="","",VLOOKUP($E12,Benchmark_URLs!$A$2:$L$46,6,FALSE))</f>
        <v>pdf</v>
      </c>
      <c r="I12" s="10" t="str">
        <f>IF($E12="","",VLOOKUP($E12,Benchmark_URLs!$A$2:$L$46,7,FALSE))</f>
        <v>N</v>
      </c>
      <c r="J12" s="10" t="str">
        <f>IF($E12="","",VLOOKUP($E12,Benchmark_URLs!$A$2:$L$46,8,FALSE))</f>
        <v>N</v>
      </c>
      <c r="K12" s="10" t="str">
        <f>IF($E12="","",VLOOKUP($E12,Benchmark_URLs!$A$2:$L$46,9,FALSE))</f>
        <v>N</v>
      </c>
      <c r="L12" s="10" t="str">
        <f>IF($E12="","",VLOOKUP($E12,Benchmark_URLs!$A$2:$L$46,10,FALSE))</f>
        <v>Y</v>
      </c>
      <c r="M12" s="10">
        <f>IF($E12="","",VLOOKUP($E12,Benchmark_URLs!$A$2:$L$46,11,FALSE))</f>
        <v>8000</v>
      </c>
      <c r="N12" s="11">
        <v>200.0</v>
      </c>
      <c r="O12" s="11">
        <v>1.0</v>
      </c>
      <c r="P12" s="11">
        <v>0.0</v>
      </c>
      <c r="Q12" s="12">
        <v>15337.0</v>
      </c>
      <c r="R12" s="12">
        <v>15337.0</v>
      </c>
      <c r="S12" s="12">
        <v>0.0</v>
      </c>
      <c r="T12" s="11">
        <v>1.0</v>
      </c>
      <c r="U12" s="11">
        <v>1.0</v>
      </c>
      <c r="V12" s="11">
        <v>1.0</v>
      </c>
      <c r="W12" s="12">
        <v>0.0</v>
      </c>
      <c r="X12" s="12">
        <v>5.0</v>
      </c>
      <c r="Y12" s="13">
        <v>0.845</v>
      </c>
      <c r="Z12" s="13">
        <v>2.0</v>
      </c>
      <c r="AA12" s="10"/>
      <c r="AB12" s="10"/>
      <c r="AC12" s="14">
        <v>1.0</v>
      </c>
      <c r="AD12" s="15">
        <f t="shared" si="1"/>
        <v>1</v>
      </c>
      <c r="AE12" s="16">
        <f t="shared" si="2"/>
        <v>1</v>
      </c>
      <c r="AF12" s="16">
        <f>IF($E12="","",IF($H12="pdf",IFERROR(IF($X12&gt;=Weights!$B$10,1,0),0),1))</f>
        <v>1</v>
      </c>
      <c r="AG12" s="16">
        <f t="shared" si="3"/>
        <v>1</v>
      </c>
      <c r="AH12" s="15">
        <f>IF($E12="","",IFERROR((Weights!$B$2*$O12 + Weights!$B$3*$AE12 + Weights!$B$4*$AD12 + Weights!$B$5*(1-$AC12) + Weights!$B$6*$AF12 + Weights!$B$7*$AG12)/SUM(Weights!$B$2:$B$7),"" ))</f>
        <v>0.85</v>
      </c>
      <c r="AI12" s="15">
        <f>IF($E12="","",IF($O12=0,0,IFERROR($AH12/MAX(Weights!$B$8,$Y12)/MAX(Weights!$B$9,IF($Z12="",0,$Z12)), "")))</f>
        <v>0.5029585799</v>
      </c>
      <c r="AJ12" s="17"/>
    </row>
    <row r="13">
      <c r="A13" s="6">
        <v>1.85501032026E11</v>
      </c>
      <c r="B13" s="7">
        <v>46025.0</v>
      </c>
      <c r="C13" s="6" t="s">
        <v>248</v>
      </c>
      <c r="D13" s="6" t="s">
        <v>121</v>
      </c>
      <c r="E13" s="6" t="s">
        <v>126</v>
      </c>
      <c r="F13" s="9" t="str">
        <f>IF($E13="","",VLOOKUP($E13,Benchmark_URLs!$A$2:$L$46,4,FALSE))</f>
        <v>https://www.fdic.gov/resources/supervision-and-examinations/examination-policies-manual/risk-management-manual-complete.pdf</v>
      </c>
      <c r="G13" s="10"/>
      <c r="H13" s="10" t="str">
        <f>IF($E13="","",VLOOKUP($E13,Benchmark_URLs!$A$2:$L$46,6,FALSE))</f>
        <v>pdf</v>
      </c>
      <c r="I13" s="10" t="str">
        <f>IF($E13="","",VLOOKUP($E13,Benchmark_URLs!$A$2:$L$46,7,FALSE))</f>
        <v>N</v>
      </c>
      <c r="J13" s="10" t="str">
        <f>IF($E13="","",VLOOKUP($E13,Benchmark_URLs!$A$2:$L$46,8,FALSE))</f>
        <v>N</v>
      </c>
      <c r="K13" s="10" t="str">
        <f>IF($E13="","",VLOOKUP($E13,Benchmark_URLs!$A$2:$L$46,9,FALSE))</f>
        <v>N</v>
      </c>
      <c r="L13" s="10" t="str">
        <f>IF($E13="","",VLOOKUP($E13,Benchmark_URLs!$A$2:$L$46,10,FALSE))</f>
        <v>Y</v>
      </c>
      <c r="M13" s="10">
        <f>IF($E13="","",VLOOKUP($E13,Benchmark_URLs!$A$2:$L$46,11,FALSE))</f>
        <v>15000</v>
      </c>
      <c r="N13" s="11">
        <v>200.0</v>
      </c>
      <c r="O13" s="11">
        <v>1.0</v>
      </c>
      <c r="P13" s="11">
        <v>0.0</v>
      </c>
      <c r="Q13" s="12">
        <v>4484225.0</v>
      </c>
      <c r="R13" s="12">
        <v>4484225.0</v>
      </c>
      <c r="S13" s="12">
        <v>0.0</v>
      </c>
      <c r="T13" s="11">
        <v>1.0</v>
      </c>
      <c r="U13" s="11">
        <v>1.0</v>
      </c>
      <c r="V13" s="11">
        <v>0.0</v>
      </c>
      <c r="W13" s="12">
        <v>16.0</v>
      </c>
      <c r="X13" s="12">
        <v>848.0</v>
      </c>
      <c r="Y13" s="13">
        <v>13.419</v>
      </c>
      <c r="Z13" s="13">
        <v>2.0</v>
      </c>
      <c r="AA13" s="10"/>
      <c r="AB13" s="6" t="s">
        <v>251</v>
      </c>
      <c r="AC13" s="14">
        <v>0.0</v>
      </c>
      <c r="AD13" s="15">
        <f t="shared" si="1"/>
        <v>0.6666666667</v>
      </c>
      <c r="AE13" s="16">
        <f t="shared" si="2"/>
        <v>1</v>
      </c>
      <c r="AF13" s="16">
        <f>IF($E13="","",IF($H13="pdf",IFERROR(IF($X13&gt;=Weights!$B$10,1,0),0),1))</f>
        <v>1</v>
      </c>
      <c r="AG13" s="16">
        <f t="shared" si="3"/>
        <v>1</v>
      </c>
      <c r="AH13" s="15">
        <f>IF($E13="","",IFERROR((Weights!$B$2*$O13 + Weights!$B$3*$AE13 + Weights!$B$4*$AD13 + Weights!$B$5*(1-$AC13) + Weights!$B$6*$AF13 + Weights!$B$7*$AG13)/SUM(Weights!$B$2:$B$7),"" ))</f>
        <v>0.95</v>
      </c>
      <c r="AI13" s="15">
        <f>IF($E13="","",IF($O13=0,0,IFERROR($AH13/MAX(Weights!$B$8,$Y13)/MAX(Weights!$B$9,IF($Z13="",0,$Z13)), "")))</f>
        <v>0.03539757061</v>
      </c>
      <c r="AJ13" s="17"/>
    </row>
    <row r="14">
      <c r="A14" s="6">
        <v>1.90001032026E11</v>
      </c>
      <c r="B14" s="7">
        <v>46025.0</v>
      </c>
      <c r="C14" s="6" t="s">
        <v>248</v>
      </c>
      <c r="D14" s="2" t="s">
        <v>162</v>
      </c>
      <c r="E14" s="6" t="s">
        <v>161</v>
      </c>
      <c r="F14" s="9" t="str">
        <f>IF($E14="","",VLOOKUP($E14,Benchmark_URLs!$A$2:$L$46,4,FALSE))</f>
        <v>http://www.sec.gov</v>
      </c>
      <c r="G14" s="10"/>
      <c r="H14" s="10" t="str">
        <f>IF($E14="","",VLOOKUP($E14,Benchmark_URLs!$A$2:$L$46,6,FALSE))</f>
        <v>html</v>
      </c>
      <c r="I14" s="10" t="str">
        <f>IF($E14="","",VLOOKUP($E14,Benchmark_URLs!$A$2:$L$46,7,FALSE))</f>
        <v>N</v>
      </c>
      <c r="J14" s="10" t="str">
        <f>IF($E14="","",VLOOKUP($E14,Benchmark_URLs!$A$2:$L$46,8,FALSE))</f>
        <v>N</v>
      </c>
      <c r="K14" s="10" t="str">
        <f>IF($E14="","",VLOOKUP($E14,Benchmark_URLs!$A$2:$L$46,9,FALSE))</f>
        <v>N</v>
      </c>
      <c r="L14" s="10" t="str">
        <f>IF($E14="","",VLOOKUP($E14,Benchmark_URLs!$A$2:$L$46,10,FALSE))</f>
        <v>Y</v>
      </c>
      <c r="M14" s="10">
        <f>IF($E14="","",VLOOKUP($E14,Benchmark_URLs!$A$2:$L$46,11,FALSE))</f>
        <v>500</v>
      </c>
      <c r="N14" s="11">
        <v>200.0</v>
      </c>
      <c r="O14" s="11">
        <v>1.0</v>
      </c>
      <c r="P14" s="11">
        <v>0.0</v>
      </c>
      <c r="Q14" s="12">
        <v>320.0</v>
      </c>
      <c r="R14" s="12">
        <v>320.0</v>
      </c>
      <c r="S14" s="12">
        <v>0.0</v>
      </c>
      <c r="T14" s="11">
        <v>1.0</v>
      </c>
      <c r="U14" s="11">
        <v>0.0</v>
      </c>
      <c r="V14" s="11">
        <v>0.0</v>
      </c>
      <c r="W14" s="12">
        <v>0.0</v>
      </c>
      <c r="X14" s="12"/>
      <c r="Y14" s="13">
        <v>0.595</v>
      </c>
      <c r="Z14" s="13">
        <v>2.0</v>
      </c>
      <c r="AA14" s="10"/>
      <c r="AB14" s="10"/>
      <c r="AC14" s="14">
        <v>0.0</v>
      </c>
      <c r="AD14" s="15">
        <f t="shared" si="1"/>
        <v>0.3333333333</v>
      </c>
      <c r="AE14" s="16">
        <f t="shared" si="2"/>
        <v>0</v>
      </c>
      <c r="AF14" s="11"/>
      <c r="AG14" s="16">
        <f t="shared" si="3"/>
        <v>1</v>
      </c>
      <c r="AH14" s="15">
        <f>IF($E14="","",IFERROR((Weights!$B$2*$O14 + Weights!$B$3*$AE14 + Weights!$B$4*$AD14 + Weights!$B$5*(1-$AC14) + Weights!$B$6*$AF14 + Weights!$B$7*$AG14)/SUM(Weights!$B$2:$B$7),"" ))</f>
        <v>0.55</v>
      </c>
      <c r="AI14" s="15">
        <f>IF($E14="","",IF($O14=0,0,IFERROR($AH14/MAX(Weights!$B$8,$Y14)/MAX(Weights!$B$9,IF($Z14="",0,$Z14)), "")))</f>
        <v>0.4621848739</v>
      </c>
      <c r="AJ14" s="17"/>
    </row>
    <row r="15">
      <c r="A15" s="6">
        <v>1.90301032026E11</v>
      </c>
      <c r="B15" s="7">
        <v>46025.0</v>
      </c>
      <c r="C15" s="6" t="s">
        <v>248</v>
      </c>
      <c r="D15" s="2" t="s">
        <v>162</v>
      </c>
      <c r="E15" s="6" t="s">
        <v>166</v>
      </c>
      <c r="F15" s="9" t="str">
        <f>IF($E15="","",VLOOKUP($E15,Benchmark_URLs!$A$2:$L$46,4,FALSE))</f>
        <v>http://www.fdic.gov</v>
      </c>
      <c r="G15" s="10"/>
      <c r="H15" s="10" t="str">
        <f>IF($E15="","",VLOOKUP($E15,Benchmark_URLs!$A$2:$L$46,6,FALSE))</f>
        <v>html</v>
      </c>
      <c r="I15" s="10" t="str">
        <f>IF($E15="","",VLOOKUP($E15,Benchmark_URLs!$A$2:$L$46,7,FALSE))</f>
        <v>N</v>
      </c>
      <c r="J15" s="10" t="str">
        <f>IF($E15="","",VLOOKUP($E15,Benchmark_URLs!$A$2:$L$46,8,FALSE))</f>
        <v>N</v>
      </c>
      <c r="K15" s="10" t="str">
        <f>IF($E15="","",VLOOKUP($E15,Benchmark_URLs!$A$2:$L$46,9,FALSE))</f>
        <v>N</v>
      </c>
      <c r="L15" s="10" t="str">
        <f>IF($E15="","",VLOOKUP($E15,Benchmark_URLs!$A$2:$L$46,10,FALSE))</f>
        <v>Y</v>
      </c>
      <c r="M15" s="10">
        <f>IF($E15="","",VLOOKUP($E15,Benchmark_URLs!$A$2:$L$46,11,FALSE))</f>
        <v>500</v>
      </c>
      <c r="N15" s="11">
        <v>200.0</v>
      </c>
      <c r="O15" s="11">
        <v>1.0</v>
      </c>
      <c r="P15" s="11">
        <v>0.0</v>
      </c>
      <c r="Q15" s="12">
        <v>3614.0</v>
      </c>
      <c r="R15" s="12">
        <v>3614.0</v>
      </c>
      <c r="S15" s="12">
        <v>0.0</v>
      </c>
      <c r="T15" s="11">
        <v>1.0</v>
      </c>
      <c r="U15" s="11">
        <v>1.0</v>
      </c>
      <c r="V15" s="11">
        <v>0.0</v>
      </c>
      <c r="W15" s="12">
        <v>0.0</v>
      </c>
      <c r="X15" s="12"/>
      <c r="Y15" s="13">
        <v>1.089</v>
      </c>
      <c r="Z15" s="13">
        <v>2.0</v>
      </c>
      <c r="AA15" s="10"/>
      <c r="AB15" s="6" t="s">
        <v>252</v>
      </c>
      <c r="AC15" s="14">
        <v>0.0</v>
      </c>
      <c r="AD15" s="15">
        <f t="shared" si="1"/>
        <v>0.6666666667</v>
      </c>
      <c r="AE15" s="16">
        <f t="shared" si="2"/>
        <v>1</v>
      </c>
      <c r="AF15" s="11"/>
      <c r="AG15" s="16">
        <f t="shared" si="3"/>
        <v>1</v>
      </c>
      <c r="AH15" s="15">
        <f>IF($E15="","",IFERROR((Weights!$B$2*$O15 + Weights!$B$3*$AE15 + Weights!$B$4*$AD15 + Weights!$B$5*(1-$AC15) + Weights!$B$6*$AF15 + Weights!$B$7*$AG15)/SUM(Weights!$B$2:$B$7),"" ))</f>
        <v>0.85</v>
      </c>
      <c r="AI15" s="15">
        <f>IF($E15="","",IF($O15=0,0,IFERROR($AH15/MAX(Weights!$B$8,$Y15)/MAX(Weights!$B$9,IF($Z15="",0,$Z15)), "")))</f>
        <v>0.3902662994</v>
      </c>
      <c r="AJ15" s="17"/>
    </row>
    <row r="16">
      <c r="A16" s="6">
        <v>1.90701032026E11</v>
      </c>
      <c r="B16" s="7">
        <v>46025.0</v>
      </c>
      <c r="C16" s="6" t="s">
        <v>248</v>
      </c>
      <c r="D16" s="6" t="s">
        <v>174</v>
      </c>
      <c r="E16" s="6" t="s">
        <v>173</v>
      </c>
      <c r="F16" s="9" t="str">
        <f>IF($E16="","",VLOOKUP($E16,Benchmark_URLs!$A$2:$L$46,4,FALSE))</f>
        <v>https://www.bcg.com/capabilities/digital-technology-data/insights</v>
      </c>
      <c r="G16" s="10"/>
      <c r="H16" s="10" t="str">
        <f>IF($E16="","",VLOOKUP($E16,Benchmark_URLs!$A$2:$L$46,6,FALSE))</f>
        <v>html</v>
      </c>
      <c r="I16" s="10" t="str">
        <f>IF($E16="","",VLOOKUP($E16,Benchmark_URLs!$A$2:$L$46,7,FALSE))</f>
        <v>Y</v>
      </c>
      <c r="J16" s="10" t="str">
        <f>IF($E16="","",VLOOKUP($E16,Benchmark_URLs!$A$2:$L$46,8,FALSE))</f>
        <v>N</v>
      </c>
      <c r="K16" s="10" t="str">
        <f>IF($E16="","",VLOOKUP($E16,Benchmark_URLs!$A$2:$L$46,9,FALSE))</f>
        <v>Y</v>
      </c>
      <c r="L16" s="10" t="str">
        <f>IF($E16="","",VLOOKUP($E16,Benchmark_URLs!$A$2:$L$46,10,FALSE))</f>
        <v>Y</v>
      </c>
      <c r="M16" s="10">
        <f>IF($E16="","",VLOOKUP($E16,Benchmark_URLs!$A$2:$L$46,11,FALSE))</f>
        <v>2500</v>
      </c>
      <c r="N16" s="11">
        <v>200.0</v>
      </c>
      <c r="O16" s="11">
        <v>1.0</v>
      </c>
      <c r="P16" s="11">
        <v>0.0</v>
      </c>
      <c r="Q16" s="12">
        <v>380.0</v>
      </c>
      <c r="R16" s="12">
        <v>380.0</v>
      </c>
      <c r="S16" s="12">
        <v>0.0</v>
      </c>
      <c r="T16" s="11">
        <v>1.0</v>
      </c>
      <c r="U16" s="11">
        <v>0.0</v>
      </c>
      <c r="V16" s="11">
        <v>0.0</v>
      </c>
      <c r="W16" s="12">
        <v>0.0</v>
      </c>
      <c r="X16" s="12"/>
      <c r="Y16" s="13">
        <v>1.892</v>
      </c>
      <c r="Z16" s="13">
        <v>2.0</v>
      </c>
      <c r="AA16" s="10"/>
      <c r="AB16" s="6" t="s">
        <v>253</v>
      </c>
      <c r="AC16" s="14">
        <v>0.0</v>
      </c>
      <c r="AD16" s="15">
        <f t="shared" si="1"/>
        <v>0.3333333333</v>
      </c>
      <c r="AE16" s="16">
        <f t="shared" si="2"/>
        <v>0</v>
      </c>
      <c r="AF16" s="11"/>
      <c r="AG16" s="16">
        <f t="shared" si="3"/>
        <v>0</v>
      </c>
      <c r="AH16" s="15">
        <f>IF($E16="","",IFERROR((Weights!$B$2*$O16 + Weights!$B$3*$AE16 + Weights!$B$4*$AD16 + Weights!$B$5*(1-$AC16) + Weights!$B$6*$AF16 + Weights!$B$7*$AG16)/SUM(Weights!$B$2:$B$7),"" ))</f>
        <v>0.5</v>
      </c>
      <c r="AI16" s="15">
        <f>IF($E16="","",IF($O16=0,0,IFERROR($AH16/MAX(Weights!$B$8,$Y16)/MAX(Weights!$B$9,IF($Z16="",0,$Z16)), "")))</f>
        <v>0.1321353066</v>
      </c>
      <c r="AJ16" s="18" t="s">
        <v>254</v>
      </c>
    </row>
    <row r="17">
      <c r="A17" s="6">
        <v>1.90901032026E11</v>
      </c>
      <c r="B17" s="7">
        <v>46025.0</v>
      </c>
      <c r="C17" s="6" t="s">
        <v>248</v>
      </c>
      <c r="D17" s="6" t="s">
        <v>174</v>
      </c>
      <c r="E17" s="6" t="s">
        <v>179</v>
      </c>
      <c r="F17" s="9" t="str">
        <f>IF($E17="","",VLOOKUP($E17,Benchmark_URLs!$A$2:$L$46,4,FALSE))</f>
        <v>https://www.mckinsey.com/featured-insights/mckinsey-explainers/what-is-digital-transformation</v>
      </c>
      <c r="G17" s="10"/>
      <c r="H17" s="10" t="str">
        <f>IF($E17="","",VLOOKUP($E17,Benchmark_URLs!$A$2:$L$46,6,FALSE))</f>
        <v>html</v>
      </c>
      <c r="I17" s="10" t="str">
        <f>IF($E17="","",VLOOKUP($E17,Benchmark_URLs!$A$2:$L$46,7,FALSE))</f>
        <v>Y</v>
      </c>
      <c r="J17" s="10" t="str">
        <f>IF($E17="","",VLOOKUP($E17,Benchmark_URLs!$A$2:$L$46,8,FALSE))</f>
        <v>N</v>
      </c>
      <c r="K17" s="10" t="str">
        <f>IF($E17="","",VLOOKUP($E17,Benchmark_URLs!$A$2:$L$46,9,FALSE))</f>
        <v>N</v>
      </c>
      <c r="L17" s="10" t="str">
        <f>IF($E17="","",VLOOKUP($E17,Benchmark_URLs!$A$2:$L$46,10,FALSE))</f>
        <v>Y</v>
      </c>
      <c r="M17" s="10">
        <f>IF($E17="","",VLOOKUP($E17,Benchmark_URLs!$A$2:$L$46,11,FALSE))</f>
        <v>2500</v>
      </c>
      <c r="N17" s="11">
        <v>200.0</v>
      </c>
      <c r="O17" s="11">
        <v>1.0</v>
      </c>
      <c r="P17" s="11">
        <v>0.0</v>
      </c>
      <c r="Q17" s="12">
        <v>16012.0</v>
      </c>
      <c r="R17" s="12">
        <v>16012.0</v>
      </c>
      <c r="S17" s="12">
        <v>0.0</v>
      </c>
      <c r="T17" s="11">
        <v>1.0</v>
      </c>
      <c r="U17" s="11">
        <v>1.0</v>
      </c>
      <c r="V17" s="11">
        <v>0.0</v>
      </c>
      <c r="W17" s="12">
        <v>0.0</v>
      </c>
      <c r="X17" s="12"/>
      <c r="Y17" s="13">
        <v>1.037</v>
      </c>
      <c r="Z17" s="6">
        <v>2.0</v>
      </c>
      <c r="AA17" s="10"/>
      <c r="AB17" s="6" t="s">
        <v>255</v>
      </c>
      <c r="AC17" s="14">
        <v>0.0</v>
      </c>
      <c r="AD17" s="15">
        <f t="shared" si="1"/>
        <v>0.6666666667</v>
      </c>
      <c r="AE17" s="16">
        <f t="shared" si="2"/>
        <v>1</v>
      </c>
      <c r="AF17" s="11"/>
      <c r="AG17" s="16">
        <f t="shared" si="3"/>
        <v>0</v>
      </c>
      <c r="AH17" s="15">
        <f>IF($E17="","",IFERROR((Weights!$B$2*$O17 + Weights!$B$3*$AE17 + Weights!$B$4*$AD17 + Weights!$B$5*(1-$AC17) + Weights!$B$6*$AF17 + Weights!$B$7*$AG17)/SUM(Weights!$B$2:$B$7),"" ))</f>
        <v>0.8</v>
      </c>
      <c r="AI17" s="15">
        <f>IF($E17="","",IF($O17=0,0,IFERROR($AH17/MAX(Weights!$B$8,$Y17)/MAX(Weights!$B$9,IF($Z17="",0,$Z17)), "")))</f>
        <v>0.3857280617</v>
      </c>
      <c r="AJ17" s="17"/>
    </row>
    <row r="18">
      <c r="A18" s="6">
        <v>1.91801032026E11</v>
      </c>
      <c r="B18" s="7">
        <v>46025.0</v>
      </c>
      <c r="C18" s="6" t="s">
        <v>248</v>
      </c>
      <c r="D18" s="2" t="s">
        <v>207</v>
      </c>
      <c r="E18" s="2" t="s">
        <v>206</v>
      </c>
      <c r="F18" s="9" t="str">
        <f>IF($E18="","",VLOOKUP($E18,Benchmark_URLs!$A$2:$L$46,4,FALSE))</f>
        <v>https://search.worldbank.org/api/v2/news?format=json&amp;rows=20&amp;fct=displayconttype_exact,topic_exact,lang_exact,count_exact,countcode_exact,admreg_exact&amp;src=cq55&amp;apilang=en&amp;lang_exact=English&amp;displayconttype_exact=Press%20Release&amp;os=0</v>
      </c>
      <c r="G18" s="10"/>
      <c r="H18" s="10" t="str">
        <f>IF($E18="","",VLOOKUP($E18,Benchmark_URLs!$A$2:$L$46,6,FALSE))</f>
        <v>json</v>
      </c>
      <c r="I18" s="10" t="str">
        <f>IF($E18="","",VLOOKUP($E18,Benchmark_URLs!$A$2:$L$46,7,FALSE))</f>
        <v>N</v>
      </c>
      <c r="J18" s="10" t="str">
        <f>IF($E18="","",VLOOKUP($E18,Benchmark_URLs!$A$2:$L$46,8,FALSE))</f>
        <v>N</v>
      </c>
      <c r="K18" s="10" t="str">
        <f>IF($E18="","",VLOOKUP($E18,Benchmark_URLs!$A$2:$L$46,9,FALSE))</f>
        <v>Y</v>
      </c>
      <c r="L18" s="10" t="str">
        <f>IF($E18="","",VLOOKUP($E18,Benchmark_URLs!$A$2:$L$46,10,FALSE))</f>
        <v>Y</v>
      </c>
      <c r="M18" s="10">
        <f>IF($E18="","",VLOOKUP($E18,Benchmark_URLs!$A$2:$L$46,11,FALSE))</f>
        <v>1000</v>
      </c>
      <c r="N18" s="11">
        <v>404.0</v>
      </c>
      <c r="O18" s="11">
        <v>0.0</v>
      </c>
      <c r="P18" s="11">
        <v>0.0</v>
      </c>
      <c r="Q18" s="12">
        <v>0.0</v>
      </c>
      <c r="R18" s="12">
        <v>0.0</v>
      </c>
      <c r="S18" s="12">
        <v>0.0</v>
      </c>
      <c r="T18" s="12">
        <v>0.0</v>
      </c>
      <c r="U18" s="12">
        <v>0.0</v>
      </c>
      <c r="V18" s="12">
        <v>0.0</v>
      </c>
      <c r="W18" s="12">
        <v>0.0</v>
      </c>
      <c r="X18" s="12"/>
      <c r="Y18" s="12">
        <v>0.0</v>
      </c>
      <c r="Z18" s="13">
        <v>0.0</v>
      </c>
      <c r="AA18" s="10"/>
      <c r="AB18" s="10"/>
      <c r="AC18" s="15" t="str">
        <f t="shared" ref="AC18:AC29" si="4">IF($E18="","",IF($R18&gt;0,MIN(1,$S18/$R18),""))</f>
        <v/>
      </c>
      <c r="AD18" s="15">
        <f t="shared" si="1"/>
        <v>0</v>
      </c>
      <c r="AE18" s="16">
        <f t="shared" si="2"/>
        <v>0</v>
      </c>
      <c r="AF18" s="11"/>
      <c r="AG18" s="11">
        <v>0.0</v>
      </c>
      <c r="AH18" s="15">
        <f>IF($E18="","",IFERROR((Weights!$B$2*$O18 + Weights!$B$3*$AE18 + Weights!$B$4*$AD18 + Weights!$B$5*(1-$AC18) + Weights!$B$6*$AF18 + Weights!$B$7*$AG18)/SUM(Weights!$B$2:$B$7),"" ))</f>
        <v>0.15</v>
      </c>
      <c r="AI18" s="15">
        <f>IF($E18="","",IF($O18=0,0,IFERROR($AH18/MAX(Weights!$B$8,$Y18)/MAX(Weights!$B$9,IF($Z18="",0,$Z18)), "")))</f>
        <v>0</v>
      </c>
      <c r="AJ18" s="17"/>
    </row>
    <row r="19">
      <c r="A19" s="6">
        <v>1.91901032026E11</v>
      </c>
      <c r="B19" s="7">
        <v>46025.0</v>
      </c>
      <c r="C19" s="6" t="s">
        <v>248</v>
      </c>
      <c r="D19" s="2" t="s">
        <v>207</v>
      </c>
      <c r="E19" s="6" t="s">
        <v>213</v>
      </c>
      <c r="F19" s="9" t="str">
        <f>IF($E19="","",VLOOKUP($E19,Benchmark_URLs!$A$2:$L$46,4,FALSE))</f>
        <v>https://search.worldbank.org/api/v2/news?format=json&amp;rows=20&amp;fct=displayconttype_exact,topic_exact,lang_exact,count_exact,countcode_exact,admreg_exact&amp;src=cq55&amp;apilang=en&amp;lang_exact=English&amp;displayconttype_exact=Press%20Release&amp;os=20</v>
      </c>
      <c r="G19" s="10"/>
      <c r="H19" s="10" t="str">
        <f>IF($E19="","",VLOOKUP($E19,Benchmark_URLs!$A$2:$L$46,6,FALSE))</f>
        <v>json</v>
      </c>
      <c r="I19" s="10" t="str">
        <f>IF($E19="","",VLOOKUP($E19,Benchmark_URLs!$A$2:$L$46,7,FALSE))</f>
        <v>N</v>
      </c>
      <c r="J19" s="10" t="str">
        <f>IF($E19="","",VLOOKUP($E19,Benchmark_URLs!$A$2:$L$46,8,FALSE))</f>
        <v>N</v>
      </c>
      <c r="K19" s="10" t="str">
        <f>IF($E19="","",VLOOKUP($E19,Benchmark_URLs!$A$2:$L$46,9,FALSE))</f>
        <v>Y</v>
      </c>
      <c r="L19" s="10" t="str">
        <f>IF($E19="","",VLOOKUP($E19,Benchmark_URLs!$A$2:$L$46,10,FALSE))</f>
        <v>Y</v>
      </c>
      <c r="M19" s="10">
        <f>IF($E19="","",VLOOKUP($E19,Benchmark_URLs!$A$2:$L$46,11,FALSE))</f>
        <v>1000</v>
      </c>
      <c r="N19" s="11">
        <v>404.0</v>
      </c>
      <c r="O19" s="11">
        <v>0.0</v>
      </c>
      <c r="P19" s="11">
        <v>0.0</v>
      </c>
      <c r="Q19" s="12">
        <v>0.0</v>
      </c>
      <c r="R19" s="12">
        <v>0.0</v>
      </c>
      <c r="S19" s="12">
        <v>0.0</v>
      </c>
      <c r="T19" s="12">
        <v>0.0</v>
      </c>
      <c r="U19" s="12">
        <v>0.0</v>
      </c>
      <c r="V19" s="12">
        <v>0.0</v>
      </c>
      <c r="W19" s="12">
        <v>0.0</v>
      </c>
      <c r="X19" s="12"/>
      <c r="Y19" s="12">
        <v>0.0</v>
      </c>
      <c r="Z19" s="12">
        <v>0.0</v>
      </c>
      <c r="AA19" s="10"/>
      <c r="AB19" s="10"/>
      <c r="AC19" s="15" t="str">
        <f t="shared" si="4"/>
        <v/>
      </c>
      <c r="AD19" s="15">
        <f t="shared" si="1"/>
        <v>0</v>
      </c>
      <c r="AE19" s="16">
        <f t="shared" si="2"/>
        <v>0</v>
      </c>
      <c r="AF19" s="11"/>
      <c r="AG19" s="11">
        <v>0.0</v>
      </c>
      <c r="AH19" s="15">
        <f>IF($E19="","",IFERROR((Weights!$B$2*$O19 + Weights!$B$3*$AE19 + Weights!$B$4*$AD19 + Weights!$B$5*(1-$AC19) + Weights!$B$6*$AF19 + Weights!$B$7*$AG19)/SUM(Weights!$B$2:$B$7),"" ))</f>
        <v>0.15</v>
      </c>
      <c r="AI19" s="15">
        <f>IF($E19="","",IF($O19=0,0,IFERROR($AH19/MAX(Weights!$B$8,$Y19)/MAX(Weights!$B$9,IF($Z19="",0,$Z19)), "")))</f>
        <v>0</v>
      </c>
      <c r="AJ19" s="17"/>
    </row>
    <row r="20">
      <c r="A20" s="21">
        <v>1.95501032026E11</v>
      </c>
      <c r="B20" s="22">
        <v>46025.0</v>
      </c>
      <c r="C20" s="21" t="s">
        <v>256</v>
      </c>
      <c r="D20" s="23" t="s">
        <v>13</v>
      </c>
      <c r="E20" s="21" t="s">
        <v>12</v>
      </c>
      <c r="F20" s="24" t="str">
        <f>IF($E20="","",VLOOKUP($E20,Benchmark_URLs!$A$2:$L$46,4,FALSE))</f>
        <v>https://www.federalreserve.gov/supervisionreg.htm</v>
      </c>
      <c r="G20" s="23"/>
      <c r="H20" s="23" t="str">
        <f>IF($E20="","",VLOOKUP($E20,Benchmark_URLs!$A$2:$L$46,6,FALSE))</f>
        <v>html</v>
      </c>
      <c r="I20" s="23" t="str">
        <f>IF($E20="","",VLOOKUP($E20,Benchmark_URLs!$A$2:$L$46,7,FALSE))</f>
        <v>N</v>
      </c>
      <c r="J20" s="23" t="str">
        <f>IF($E20="","",VLOOKUP($E20,Benchmark_URLs!$A$2:$L$46,8,FALSE))</f>
        <v>N</v>
      </c>
      <c r="K20" s="23" t="str">
        <f>IF($E20="","",VLOOKUP($E20,Benchmark_URLs!$A$2:$L$46,9,FALSE))</f>
        <v>N</v>
      </c>
      <c r="L20" s="23" t="str">
        <f>IF($E20="","",VLOOKUP($E20,Benchmark_URLs!$A$2:$L$46,10,FALSE))</f>
        <v>Y</v>
      </c>
      <c r="M20" s="23">
        <f>IF($E20="","",VLOOKUP($E20,Benchmark_URLs!$A$2:$L$46,11,FALSE))</f>
        <v>4000</v>
      </c>
      <c r="N20" s="25">
        <v>200.0</v>
      </c>
      <c r="O20" s="25">
        <v>1.0</v>
      </c>
      <c r="P20" s="25">
        <v>0.0</v>
      </c>
      <c r="Q20" s="26">
        <v>6985.0</v>
      </c>
      <c r="R20" s="26">
        <v>8837.0</v>
      </c>
      <c r="S20" s="26">
        <v>1852.0</v>
      </c>
      <c r="T20" s="25">
        <v>1.0</v>
      </c>
      <c r="U20" s="25">
        <v>1.0</v>
      </c>
      <c r="V20" s="25">
        <v>0.0</v>
      </c>
      <c r="W20" s="26">
        <v>22.0</v>
      </c>
      <c r="X20" s="26"/>
      <c r="Y20" s="27">
        <v>0.36</v>
      </c>
      <c r="Z20" s="27">
        <v>3.0</v>
      </c>
      <c r="AA20" s="23"/>
      <c r="AB20" s="23"/>
      <c r="AC20" s="28">
        <f t="shared" si="4"/>
        <v>0.2095733846</v>
      </c>
      <c r="AD20" s="28">
        <f t="shared" si="1"/>
        <v>0.6666666667</v>
      </c>
      <c r="AE20" s="29">
        <f t="shared" si="2"/>
        <v>1</v>
      </c>
      <c r="AF20" s="29"/>
      <c r="AG20" s="29">
        <f t="shared" ref="AG20:AG22" si="5">IF($E20="","",IF($I20="Y",IFERROR($P20,0),1))</f>
        <v>1</v>
      </c>
      <c r="AH20" s="28">
        <f>IF($E20="","",IFERROR((Weights!$B$2*$O20 + Weights!$B$3*$AE20 + Weights!$B$4*$AD20 + Weights!$B$5*(1-$AC20) + Weights!$B$6*$AF20 + Weights!$B$7*$AG20)/SUM(Weights!$B$2:$B$7),"" ))</f>
        <v>0.8185639923</v>
      </c>
      <c r="AI20" s="28">
        <f>IF($E20="","",IF($O20=0,0,IFERROR($AH20/MAX(Weights!$B$8,$Y20)/MAX(Weights!$B$9,IF($Z20="",0,$Z20)), "")))</f>
        <v>0.7579296225</v>
      </c>
      <c r="AJ20" s="30"/>
    </row>
    <row r="21" ht="15.75" customHeight="1">
      <c r="A21" s="6">
        <v>1.40501042026E11</v>
      </c>
      <c r="B21" s="7">
        <v>46026.0</v>
      </c>
      <c r="C21" s="6" t="s">
        <v>256</v>
      </c>
      <c r="D21" s="10" t="s">
        <v>13</v>
      </c>
      <c r="E21" s="6" t="s">
        <v>21</v>
      </c>
      <c r="F21" s="9" t="str">
        <f>IF($E21="","",VLOOKUP($E21,Benchmark_URLs!$A$2:$L$46,4,FALSE))</f>
        <v>https://www.occ.treas.gov/publications-and-resources/publications/comptrollers-handbook/index-comptrollers-handbook.html</v>
      </c>
      <c r="G21" s="10"/>
      <c r="H21" s="10" t="str">
        <f>IF($E21="","",VLOOKUP($E21,Benchmark_URLs!$A$2:$L$46,6,FALSE))</f>
        <v>html</v>
      </c>
      <c r="I21" s="10" t="str">
        <f>IF($E21="","",VLOOKUP($E21,Benchmark_URLs!$A$2:$L$46,7,FALSE))</f>
        <v>N</v>
      </c>
      <c r="J21" s="10" t="str">
        <f>IF($E21="","",VLOOKUP($E21,Benchmark_URLs!$A$2:$L$46,8,FALSE))</f>
        <v>N</v>
      </c>
      <c r="K21" s="10" t="str">
        <f>IF($E21="","",VLOOKUP($E21,Benchmark_URLs!$A$2:$L$46,9,FALSE))</f>
        <v>N</v>
      </c>
      <c r="L21" s="10" t="str">
        <f>IF($E21="","",VLOOKUP($E21,Benchmark_URLs!$A$2:$L$46,10,FALSE))</f>
        <v>Y</v>
      </c>
      <c r="M21" s="10">
        <f>IF($E21="","",VLOOKUP($E21,Benchmark_URLs!$A$2:$L$46,11,FALSE))</f>
        <v>3000</v>
      </c>
      <c r="N21" s="11">
        <v>200.0</v>
      </c>
      <c r="O21" s="11">
        <v>1.0</v>
      </c>
      <c r="P21" s="11">
        <v>0.0</v>
      </c>
      <c r="Q21" s="12">
        <v>30096.0</v>
      </c>
      <c r="R21" s="12">
        <v>49681.0</v>
      </c>
      <c r="S21" s="12">
        <v>19585.0</v>
      </c>
      <c r="T21" s="11">
        <v>1.0</v>
      </c>
      <c r="U21" s="11">
        <v>1.0</v>
      </c>
      <c r="V21" s="11">
        <v>0.0</v>
      </c>
      <c r="W21" s="12">
        <v>98.0</v>
      </c>
      <c r="X21" s="12"/>
      <c r="Y21" s="13">
        <v>5.25</v>
      </c>
      <c r="Z21" s="13">
        <v>3.0</v>
      </c>
      <c r="AA21" s="10"/>
      <c r="AB21" s="6" t="s">
        <v>257</v>
      </c>
      <c r="AC21" s="15">
        <f t="shared" si="4"/>
        <v>0.3942150923</v>
      </c>
      <c r="AD21" s="15">
        <f t="shared" si="1"/>
        <v>0.6666666667</v>
      </c>
      <c r="AE21" s="16">
        <f t="shared" si="2"/>
        <v>1</v>
      </c>
      <c r="AF21" s="11"/>
      <c r="AG21" s="16">
        <f t="shared" si="5"/>
        <v>1</v>
      </c>
      <c r="AH21" s="15">
        <f>IF($E21="","",IFERROR((Weights!$B$2*$O21 + Weights!$B$3*$AE21 + Weights!$B$4*$AD21 + Weights!$B$5*(1-$AC21) + Weights!$B$6*$AF21 + Weights!$B$7*$AG21)/SUM(Weights!$B$2:$B$7),"" ))</f>
        <v>0.7908677362</v>
      </c>
      <c r="AI21" s="15">
        <f>IF($E21="","",IF($O21=0,0,IFERROR($AH21/MAX(Weights!$B$8,$Y21)/MAX(Weights!$B$9,IF($Z21="",0,$Z21)), "")))</f>
        <v>0.05021382452</v>
      </c>
      <c r="AJ21" s="17"/>
    </row>
    <row r="22" ht="15.75" customHeight="1">
      <c r="A22" s="6">
        <v>1.41401042026E11</v>
      </c>
      <c r="B22" s="7">
        <v>46026.0</v>
      </c>
      <c r="C22" s="6" t="s">
        <v>256</v>
      </c>
      <c r="D22" s="10" t="s">
        <v>13</v>
      </c>
      <c r="E22" s="6" t="s">
        <v>26</v>
      </c>
      <c r="F22" s="9" t="str">
        <f>IF($E22="","",VLOOKUP($E22,Benchmark_URLs!$A$2:$L$46,4,FALSE))</f>
        <v>https://www.fdic.gov/bank-examinations/examination-manuals</v>
      </c>
      <c r="G22" s="10"/>
      <c r="H22" s="10" t="str">
        <f>IF($E22="","",VLOOKUP($E22,Benchmark_URLs!$A$2:$L$46,6,FALSE))</f>
        <v>html</v>
      </c>
      <c r="I22" s="10" t="str">
        <f>IF($E22="","",VLOOKUP($E22,Benchmark_URLs!$A$2:$L$46,7,FALSE))</f>
        <v>N</v>
      </c>
      <c r="J22" s="10" t="str">
        <f>IF($E22="","",VLOOKUP($E22,Benchmark_URLs!$A$2:$L$46,8,FALSE))</f>
        <v>N</v>
      </c>
      <c r="K22" s="10" t="str">
        <f>IF($E22="","",VLOOKUP($E22,Benchmark_URLs!$A$2:$L$46,9,FALSE))</f>
        <v>N</v>
      </c>
      <c r="L22" s="10" t="str">
        <f>IF($E22="","",VLOOKUP($E22,Benchmark_URLs!$A$2:$L$46,10,FALSE))</f>
        <v>Y</v>
      </c>
      <c r="M22" s="10">
        <f>IF($E22="","",VLOOKUP($E22,Benchmark_URLs!$A$2:$L$46,11,FALSE))</f>
        <v>2000</v>
      </c>
      <c r="N22" s="11">
        <v>200.0</v>
      </c>
      <c r="O22" s="11">
        <v>1.0</v>
      </c>
      <c r="P22" s="11">
        <v>0.0</v>
      </c>
      <c r="Q22" s="12">
        <v>8500.0</v>
      </c>
      <c r="R22" s="12">
        <v>15000.0</v>
      </c>
      <c r="S22" s="12">
        <v>6500.0</v>
      </c>
      <c r="T22" s="11">
        <v>1.0</v>
      </c>
      <c r="U22" s="11">
        <v>1.0</v>
      </c>
      <c r="V22" s="11">
        <v>0.0</v>
      </c>
      <c r="W22" s="12">
        <v>120.0</v>
      </c>
      <c r="X22" s="19"/>
      <c r="Y22" s="13">
        <v>1.75</v>
      </c>
      <c r="Z22" s="13">
        <v>3.0</v>
      </c>
      <c r="AA22" s="10"/>
      <c r="AB22" s="6" t="s">
        <v>258</v>
      </c>
      <c r="AC22" s="15">
        <f t="shared" si="4"/>
        <v>0.4333333333</v>
      </c>
      <c r="AD22" s="15">
        <f t="shared" si="1"/>
        <v>0.6666666667</v>
      </c>
      <c r="AE22" s="16">
        <f t="shared" si="2"/>
        <v>1</v>
      </c>
      <c r="AF22" s="16"/>
      <c r="AG22" s="16">
        <f t="shared" si="5"/>
        <v>1</v>
      </c>
      <c r="AH22" s="15">
        <f>IF($E22="","",IFERROR((Weights!$B$2*$O22 + Weights!$B$3*$AE22 + Weights!$B$4*$AD22 + Weights!$B$5*(1-$AC22) + Weights!$B$6*$AF22 + Weights!$B$7*$AG22)/SUM(Weights!$B$2:$B$7),"" ))</f>
        <v>0.785</v>
      </c>
      <c r="AI22" s="15">
        <f>IF($E22="","",IF($O22=0,0,IFERROR($AH22/MAX(Weights!$B$8,$Y22)/MAX(Weights!$B$9,IF($Z22="",0,$Z22)), "")))</f>
        <v>0.1495238095</v>
      </c>
      <c r="AJ22" s="17"/>
    </row>
    <row r="23" ht="15.75" customHeight="1">
      <c r="A23" s="6">
        <v>1.42001042026E11</v>
      </c>
      <c r="B23" s="7">
        <v>46026.0</v>
      </c>
      <c r="C23" s="6" t="s">
        <v>256</v>
      </c>
      <c r="D23" s="8" t="s">
        <v>32</v>
      </c>
      <c r="E23" s="8" t="s">
        <v>31</v>
      </c>
      <c r="F23" s="9" t="str">
        <f>IF($E23="","",VLOOKUP($E23,Benchmark_URLs!$A$2:$L$46,4,FALSE))</f>
        <v>https://www.sec.gov/data-research/sec-markets-data/form-n-port-data-sets</v>
      </c>
      <c r="G23" s="10"/>
      <c r="H23" s="10" t="str">
        <f>IF($E23="","",VLOOKUP($E23,Benchmark_URLs!$A$2:$L$46,6,FALSE))</f>
        <v>html</v>
      </c>
      <c r="I23" s="10" t="str">
        <f>IF($E23="","",VLOOKUP($E23,Benchmark_URLs!$A$2:$L$46,7,FALSE))</f>
        <v>N</v>
      </c>
      <c r="J23" s="10" t="str">
        <f>IF($E23="","",VLOOKUP($E23,Benchmark_URLs!$A$2:$L$46,8,FALSE))</f>
        <v>Y</v>
      </c>
      <c r="K23" s="10" t="str">
        <f>IF($E23="","",VLOOKUP($E23,Benchmark_URLs!$A$2:$L$46,9,FALSE))</f>
        <v>N</v>
      </c>
      <c r="L23" s="10" t="str">
        <f>IF($E23="","",VLOOKUP($E23,Benchmark_URLs!$A$2:$L$46,10,FALSE))</f>
        <v>Y</v>
      </c>
      <c r="M23" s="10">
        <f>IF($E23="","",VLOOKUP($E23,Benchmark_URLs!$A$2:$L$46,11,FALSE))</f>
        <v>2000</v>
      </c>
      <c r="N23" s="11">
        <v>200.0</v>
      </c>
      <c r="O23" s="11">
        <v>1.0</v>
      </c>
      <c r="P23" s="11">
        <v>0.0</v>
      </c>
      <c r="Q23" s="12">
        <v>0.0</v>
      </c>
      <c r="R23" s="12">
        <v>0.0</v>
      </c>
      <c r="S23" s="12">
        <v>0.0</v>
      </c>
      <c r="T23" s="11">
        <v>0.0</v>
      </c>
      <c r="U23" s="11">
        <v>0.0</v>
      </c>
      <c r="V23" s="11">
        <v>0.0</v>
      </c>
      <c r="W23" s="12">
        <v>0.0</v>
      </c>
      <c r="X23" s="19"/>
      <c r="Y23" s="13">
        <v>0.56</v>
      </c>
      <c r="Z23" s="13">
        <v>3.0</v>
      </c>
      <c r="AA23" s="10"/>
      <c r="AB23" s="10"/>
      <c r="AC23" s="15" t="str">
        <f t="shared" si="4"/>
        <v/>
      </c>
      <c r="AD23" s="15">
        <f t="shared" si="1"/>
        <v>0</v>
      </c>
      <c r="AE23" s="16">
        <f t="shared" si="2"/>
        <v>0</v>
      </c>
      <c r="AF23" s="16"/>
      <c r="AG23" s="16"/>
      <c r="AH23" s="15">
        <f>IF($E23="","",IFERROR((Weights!$B$2*$O23 + Weights!$B$3*$AE23 + Weights!$B$4*$AD23 + Weights!$B$5*(1-$AC23) + Weights!$B$6*$AF23 + Weights!$B$7*$AG23)/SUM(Weights!$B$2:$B$7),"" ))</f>
        <v>0.45</v>
      </c>
      <c r="AI23" s="15">
        <f>IF($E23="","",IF($O23=0,0,IFERROR($AH23/MAX(Weights!$B$8,$Y23)/MAX(Weights!$B$9,IF($Z23="",0,$Z23)), "")))</f>
        <v>0.2678571429</v>
      </c>
      <c r="AJ23" s="17"/>
    </row>
    <row r="24" ht="15.75" customHeight="1">
      <c r="A24" s="6">
        <v>1.42501042026E11</v>
      </c>
      <c r="B24" s="7">
        <v>46026.0</v>
      </c>
      <c r="C24" s="6" t="s">
        <v>256</v>
      </c>
      <c r="D24" s="8" t="s">
        <v>32</v>
      </c>
      <c r="E24" s="8" t="s">
        <v>66</v>
      </c>
      <c r="F24" s="9" t="str">
        <f>IF($E24="","",VLOOKUP($E24,Benchmark_URLs!$A$2:$L$46,4,FALSE))</f>
        <v>https://fred.stlouisfed.org/series/GDP</v>
      </c>
      <c r="G24" s="10"/>
      <c r="H24" s="10" t="str">
        <f>IF($E24="","",VLOOKUP($E24,Benchmark_URLs!$A$2:$L$46,6,FALSE))</f>
        <v>html</v>
      </c>
      <c r="I24" s="10" t="str">
        <f>IF($E24="","",VLOOKUP($E24,Benchmark_URLs!$A$2:$L$46,7,FALSE))</f>
        <v>Y</v>
      </c>
      <c r="J24" s="10" t="str">
        <f>IF($E24="","",VLOOKUP($E24,Benchmark_URLs!$A$2:$L$46,8,FALSE))</f>
        <v>Y</v>
      </c>
      <c r="K24" s="10" t="str">
        <f>IF($E24="","",VLOOKUP($E24,Benchmark_URLs!$A$2:$L$46,9,FALSE))</f>
        <v>N</v>
      </c>
      <c r="L24" s="10" t="str">
        <f>IF($E24="","",VLOOKUP($E24,Benchmark_URLs!$A$2:$L$46,10,FALSE))</f>
        <v>Y</v>
      </c>
      <c r="M24" s="10">
        <f>IF($E24="","",VLOOKUP($E24,Benchmark_URLs!$A$2:$L$46,11,FALSE))</f>
        <v>2500</v>
      </c>
      <c r="N24" s="11">
        <v>200.0</v>
      </c>
      <c r="O24" s="11">
        <v>1.0</v>
      </c>
      <c r="P24" s="11">
        <v>0.0</v>
      </c>
      <c r="Q24" s="12">
        <v>18000.0</v>
      </c>
      <c r="R24" s="12">
        <v>45000.0</v>
      </c>
      <c r="S24" s="12">
        <v>27000.0</v>
      </c>
      <c r="T24" s="11">
        <v>1.0</v>
      </c>
      <c r="U24" s="11">
        <v>1.0</v>
      </c>
      <c r="V24" s="11">
        <v>0.0</v>
      </c>
      <c r="W24" s="12">
        <v>150.0</v>
      </c>
      <c r="X24" s="19"/>
      <c r="Y24" s="13">
        <v>3.97</v>
      </c>
      <c r="Z24" s="13">
        <v>3.0</v>
      </c>
      <c r="AA24" s="10"/>
      <c r="AB24" s="6" t="s">
        <v>259</v>
      </c>
      <c r="AC24" s="15">
        <f t="shared" si="4"/>
        <v>0.6</v>
      </c>
      <c r="AD24" s="15">
        <f t="shared" si="1"/>
        <v>0.6666666667</v>
      </c>
      <c r="AE24" s="16">
        <f t="shared" si="2"/>
        <v>1</v>
      </c>
      <c r="AF24" s="16"/>
      <c r="AG24" s="11">
        <v>1.0</v>
      </c>
      <c r="AH24" s="15">
        <f>IF($E24="","",IFERROR((Weights!$B$2*$O24 + Weights!$B$3*$AE24 + Weights!$B$4*$AD24 + Weights!$B$5*(1-$AC24) + Weights!$B$6*$AF24 + Weights!$B$7*$AG24)/SUM(Weights!$B$2:$B$7),"" ))</f>
        <v>0.76</v>
      </c>
      <c r="AI24" s="15">
        <f>IF($E24="","",IF($O24=0,0,IFERROR($AH24/MAX(Weights!$B$8,$Y24)/MAX(Weights!$B$9,IF($Z24="",0,$Z24)), "")))</f>
        <v>0.06381192275</v>
      </c>
      <c r="AJ24" s="17"/>
    </row>
    <row r="25" ht="15.75" customHeight="1">
      <c r="A25" s="6">
        <v>1.44201042026E11</v>
      </c>
      <c r="B25" s="7">
        <v>46026.0</v>
      </c>
      <c r="C25" s="6" t="s">
        <v>256</v>
      </c>
      <c r="D25" s="8" t="s">
        <v>53</v>
      </c>
      <c r="E25" s="8" t="s">
        <v>52</v>
      </c>
      <c r="F25" s="9" t="str">
        <f>IF($E25="","",VLOOKUP($E25,Benchmark_URLs!$A$2:$L$46,4,FALSE))</f>
        <v>https://www.federalreserve.gov/newsevents/pressreleases.htm</v>
      </c>
      <c r="G25" s="10"/>
      <c r="H25" s="10" t="str">
        <f>IF($E25="","",VLOOKUP($E25,Benchmark_URLs!$A$2:$L$46,6,FALSE))</f>
        <v>html</v>
      </c>
      <c r="I25" s="10" t="str">
        <f>IF($E25="","",VLOOKUP($E25,Benchmark_URLs!$A$2:$L$46,7,FALSE))</f>
        <v>N</v>
      </c>
      <c r="J25" s="10" t="str">
        <f>IF($E25="","",VLOOKUP($E25,Benchmark_URLs!$A$2:$L$46,8,FALSE))</f>
        <v>N</v>
      </c>
      <c r="K25" s="10" t="str">
        <f>IF($E25="","",VLOOKUP($E25,Benchmark_URLs!$A$2:$L$46,9,FALSE))</f>
        <v>Y</v>
      </c>
      <c r="L25" s="10" t="str">
        <f>IF($E25="","",VLOOKUP($E25,Benchmark_URLs!$A$2:$L$46,10,FALSE))</f>
        <v>Y</v>
      </c>
      <c r="M25" s="10">
        <f>IF($E25="","",VLOOKUP($E25,Benchmark_URLs!$A$2:$L$46,11,FALSE))</f>
        <v>2000</v>
      </c>
      <c r="N25" s="11">
        <v>200.0</v>
      </c>
      <c r="O25" s="11">
        <v>1.0</v>
      </c>
      <c r="P25" s="11">
        <v>0.0</v>
      </c>
      <c r="Q25" s="12">
        <v>9000.0</v>
      </c>
      <c r="R25" s="12">
        <v>18000.0</v>
      </c>
      <c r="S25" s="12">
        <v>9000.0</v>
      </c>
      <c r="T25" s="11">
        <v>1.0</v>
      </c>
      <c r="U25" s="11">
        <v>1.0</v>
      </c>
      <c r="V25" s="11">
        <v>0.0</v>
      </c>
      <c r="W25" s="12">
        <v>40.0</v>
      </c>
      <c r="X25" s="19"/>
      <c r="Y25" s="13">
        <v>0.33</v>
      </c>
      <c r="Z25" s="13">
        <v>3.0</v>
      </c>
      <c r="AA25" s="10"/>
      <c r="AB25" s="6" t="s">
        <v>260</v>
      </c>
      <c r="AC25" s="15">
        <f t="shared" si="4"/>
        <v>0.5</v>
      </c>
      <c r="AD25" s="15">
        <f t="shared" si="1"/>
        <v>0.6666666667</v>
      </c>
      <c r="AE25" s="16">
        <f t="shared" si="2"/>
        <v>1</v>
      </c>
      <c r="AF25" s="16"/>
      <c r="AG25" s="16">
        <f t="shared" ref="AG25:AG29" si="6">IF($E25="","",IF($I25="Y",IFERROR($P25,0),1))</f>
        <v>1</v>
      </c>
      <c r="AH25" s="15">
        <f>IF($E25="","",IFERROR((Weights!$B$2*$O25 + Weights!$B$3*$AE25 + Weights!$B$4*$AD25 + Weights!$B$5*(1-$AC25) + Weights!$B$6*$AF25 + Weights!$B$7*$AG25)/SUM(Weights!$B$2:$B$7),"" ))</f>
        <v>0.775</v>
      </c>
      <c r="AI25" s="15">
        <f>IF($E25="","",IF($O25=0,0,IFERROR($AH25/MAX(Weights!$B$8,$Y25)/MAX(Weights!$B$9,IF($Z25="",0,$Z25)), "")))</f>
        <v>0.7828282828</v>
      </c>
      <c r="AJ25" s="17"/>
    </row>
    <row r="26" ht="15.75" customHeight="1">
      <c r="A26" s="6">
        <v>1.44701042026E11</v>
      </c>
      <c r="B26" s="7">
        <v>46026.0</v>
      </c>
      <c r="C26" s="6" t="s">
        <v>256</v>
      </c>
      <c r="D26" s="8" t="s">
        <v>53</v>
      </c>
      <c r="E26" s="6" t="s">
        <v>57</v>
      </c>
      <c r="F26" s="9" t="str">
        <f>IF($E26="","",VLOOKUP($E26,Benchmark_URLs!$A$2:$L$46,4,FALSE))</f>
        <v>https://www.federalreserve.gov/newsevents/pressreleases/2025-press.htm</v>
      </c>
      <c r="G26" s="10"/>
      <c r="H26" s="10" t="str">
        <f>IF($E26="","",VLOOKUP($E26,Benchmark_URLs!$A$2:$L$46,6,FALSE))</f>
        <v>html</v>
      </c>
      <c r="I26" s="10" t="str">
        <f>IF($E26="","",VLOOKUP($E26,Benchmark_URLs!$A$2:$L$46,7,FALSE))</f>
        <v>N</v>
      </c>
      <c r="J26" s="10" t="str">
        <f>IF($E26="","",VLOOKUP($E26,Benchmark_URLs!$A$2:$L$46,8,FALSE))</f>
        <v>N</v>
      </c>
      <c r="K26" s="10" t="str">
        <f>IF($E26="","",VLOOKUP($E26,Benchmark_URLs!$A$2:$L$46,9,FALSE))</f>
        <v>Y</v>
      </c>
      <c r="L26" s="10" t="str">
        <f>IF($E26="","",VLOOKUP($E26,Benchmark_URLs!$A$2:$L$46,10,FALSE))</f>
        <v>Y</v>
      </c>
      <c r="M26" s="10">
        <f>IF($E26="","",VLOOKUP($E26,Benchmark_URLs!$A$2:$L$46,11,FALSE))</f>
        <v>2000</v>
      </c>
      <c r="N26" s="11">
        <v>200.0</v>
      </c>
      <c r="O26" s="11">
        <v>1.0</v>
      </c>
      <c r="P26" s="11">
        <v>0.0</v>
      </c>
      <c r="Q26" s="12">
        <v>12000.0</v>
      </c>
      <c r="R26" s="12">
        <v>40000.0</v>
      </c>
      <c r="S26" s="12">
        <v>28000.0</v>
      </c>
      <c r="T26" s="11">
        <v>1.0</v>
      </c>
      <c r="U26" s="11">
        <v>1.0</v>
      </c>
      <c r="V26" s="11">
        <v>0.0</v>
      </c>
      <c r="W26" s="12">
        <v>180.0</v>
      </c>
      <c r="X26" s="19"/>
      <c r="Y26" s="13">
        <v>1.38</v>
      </c>
      <c r="Z26" s="13">
        <v>3.0</v>
      </c>
      <c r="AA26" s="10"/>
      <c r="AB26" s="6" t="s">
        <v>261</v>
      </c>
      <c r="AC26" s="15">
        <f t="shared" si="4"/>
        <v>0.7</v>
      </c>
      <c r="AD26" s="15">
        <f t="shared" si="1"/>
        <v>0.6666666667</v>
      </c>
      <c r="AE26" s="16">
        <f t="shared" si="2"/>
        <v>1</v>
      </c>
      <c r="AF26" s="16"/>
      <c r="AG26" s="16">
        <f t="shared" si="6"/>
        <v>1</v>
      </c>
      <c r="AH26" s="15">
        <f>IF($E26="","",IFERROR((Weights!$B$2*$O26 + Weights!$B$3*$AE26 + Weights!$B$4*$AD26 + Weights!$B$5*(1-$AC26) + Weights!$B$6*$AF26 + Weights!$B$7*$AG26)/SUM(Weights!$B$2:$B$7),"" ))</f>
        <v>0.745</v>
      </c>
      <c r="AI26" s="15">
        <f>IF($E26="","",IF($O26=0,0,IFERROR($AH26/MAX(Weights!$B$8,$Y26)/MAX(Weights!$B$9,IF($Z26="",0,$Z26)), "")))</f>
        <v>0.1799516908</v>
      </c>
      <c r="AJ26" s="17"/>
    </row>
    <row r="27" ht="15.75" customHeight="1">
      <c r="A27" s="6">
        <v>1.45201042026E11</v>
      </c>
      <c r="B27" s="7">
        <v>46026.0</v>
      </c>
      <c r="C27" s="6" t="s">
        <v>256</v>
      </c>
      <c r="D27" s="8" t="s">
        <v>85</v>
      </c>
      <c r="E27" s="6" t="s">
        <v>84</v>
      </c>
      <c r="F27" s="9" t="str">
        <f>IF($E27="","",VLOOKUP($E27,Benchmark_URLs!$A$2:$L$46,4,FALSE))</f>
        <v>https://react.dev/learn</v>
      </c>
      <c r="G27" s="10"/>
      <c r="H27" s="10" t="str">
        <f>IF($E27="","",VLOOKUP($E27,Benchmark_URLs!$A$2:$L$46,6,FALSE))</f>
        <v>html</v>
      </c>
      <c r="I27" s="10" t="str">
        <f>IF($E27="","",VLOOKUP($E27,Benchmark_URLs!$A$2:$L$46,7,FALSE))</f>
        <v>Y</v>
      </c>
      <c r="J27" s="10" t="str">
        <f>IF($E27="","",VLOOKUP($E27,Benchmark_URLs!$A$2:$L$46,8,FALSE))</f>
        <v>N</v>
      </c>
      <c r="K27" s="10" t="str">
        <f>IF($E27="","",VLOOKUP($E27,Benchmark_URLs!$A$2:$L$46,9,FALSE))</f>
        <v>N</v>
      </c>
      <c r="L27" s="10" t="str">
        <f>IF($E27="","",VLOOKUP($E27,Benchmark_URLs!$A$2:$L$46,10,FALSE))</f>
        <v>Y</v>
      </c>
      <c r="M27" s="10">
        <f>IF($E27="","",VLOOKUP($E27,Benchmark_URLs!$A$2:$L$46,11,FALSE))</f>
        <v>3000</v>
      </c>
      <c r="N27" s="11">
        <v>200.0</v>
      </c>
      <c r="O27" s="11">
        <v>1.0</v>
      </c>
      <c r="P27" s="11">
        <v>1.0</v>
      </c>
      <c r="Q27" s="12">
        <v>120000.0</v>
      </c>
      <c r="R27" s="12">
        <v>180000.0</v>
      </c>
      <c r="S27" s="12">
        <v>60000.0</v>
      </c>
      <c r="T27" s="11">
        <v>1.0</v>
      </c>
      <c r="U27" s="11">
        <v>0.0</v>
      </c>
      <c r="V27" s="11">
        <v>0.0</v>
      </c>
      <c r="W27" s="12">
        <v>350.0</v>
      </c>
      <c r="X27" s="19"/>
      <c r="Y27" s="13">
        <v>1.48</v>
      </c>
      <c r="Z27" s="13">
        <v>3.0</v>
      </c>
      <c r="AA27" s="10"/>
      <c r="AB27" s="6" t="s">
        <v>262</v>
      </c>
      <c r="AC27" s="15">
        <f t="shared" si="4"/>
        <v>0.3333333333</v>
      </c>
      <c r="AD27" s="15">
        <f t="shared" si="1"/>
        <v>0.3333333333</v>
      </c>
      <c r="AE27" s="16">
        <f t="shared" si="2"/>
        <v>1</v>
      </c>
      <c r="AF27" s="16"/>
      <c r="AG27" s="16">
        <f t="shared" si="6"/>
        <v>1</v>
      </c>
      <c r="AH27" s="15">
        <f>IF($E27="","",IFERROR((Weights!$B$2*$O27 + Weights!$B$3*$AE27 + Weights!$B$4*$AD27 + Weights!$B$5*(1-$AC27) + Weights!$B$6*$AF27 + Weights!$B$7*$AG27)/SUM(Weights!$B$2:$B$7),"" ))</f>
        <v>0.75</v>
      </c>
      <c r="AI27" s="15">
        <f>IF($E27="","",IF($O27=0,0,IFERROR($AH27/MAX(Weights!$B$8,$Y27)/MAX(Weights!$B$9,IF($Z27="",0,$Z27)), "")))</f>
        <v>0.1689189189</v>
      </c>
      <c r="AJ27" s="17"/>
    </row>
    <row r="28" ht="15.75" customHeight="1">
      <c r="A28" s="6">
        <v>1.45901042026E11</v>
      </c>
      <c r="B28" s="7">
        <v>46026.0</v>
      </c>
      <c r="C28" s="6" t="s">
        <v>256</v>
      </c>
      <c r="D28" s="8" t="s">
        <v>85</v>
      </c>
      <c r="E28" s="6" t="s">
        <v>90</v>
      </c>
      <c r="F28" s="9" t="str">
        <f>IF($E28="","",VLOOKUP($E28,Benchmark_URLs!$A$2:$L$46,4,FALSE))</f>
        <v>https://nextjs.org/docs</v>
      </c>
      <c r="G28" s="10"/>
      <c r="H28" s="10" t="str">
        <f>IF($E28="","",VLOOKUP($E28,Benchmark_URLs!$A$2:$L$46,6,FALSE))</f>
        <v>html</v>
      </c>
      <c r="I28" s="10" t="str">
        <f>IF($E28="","",VLOOKUP($E28,Benchmark_URLs!$A$2:$L$46,7,FALSE))</f>
        <v>Y</v>
      </c>
      <c r="J28" s="10" t="str">
        <f>IF($E28="","",VLOOKUP($E28,Benchmark_URLs!$A$2:$L$46,8,FALSE))</f>
        <v>N</v>
      </c>
      <c r="K28" s="10" t="str">
        <f>IF($E28="","",VLOOKUP($E28,Benchmark_URLs!$A$2:$L$46,9,FALSE))</f>
        <v>N</v>
      </c>
      <c r="L28" s="10" t="str">
        <f>IF($E28="","",VLOOKUP($E28,Benchmark_URLs!$A$2:$L$46,10,FALSE))</f>
        <v>Y</v>
      </c>
      <c r="M28" s="10">
        <f>IF($E28="","",VLOOKUP($E28,Benchmark_URLs!$A$2:$L$46,11,FALSE))</f>
        <v>3000</v>
      </c>
      <c r="N28" s="11">
        <v>200.0</v>
      </c>
      <c r="O28" s="11">
        <v>1.0</v>
      </c>
      <c r="P28" s="11">
        <v>1.0</v>
      </c>
      <c r="Q28" s="12">
        <v>150000.0</v>
      </c>
      <c r="R28" s="12">
        <v>220000.0</v>
      </c>
      <c r="S28" s="12">
        <v>70000.0</v>
      </c>
      <c r="T28" s="11">
        <v>1.0</v>
      </c>
      <c r="U28" s="11">
        <v>0.0</v>
      </c>
      <c r="V28" s="11">
        <v>0.0</v>
      </c>
      <c r="W28" s="12">
        <v>500.0</v>
      </c>
      <c r="X28" s="19"/>
      <c r="Y28" s="13">
        <v>0.44</v>
      </c>
      <c r="Z28" s="13">
        <v>3.0</v>
      </c>
      <c r="AA28" s="10"/>
      <c r="AB28" s="6" t="s">
        <v>263</v>
      </c>
      <c r="AC28" s="15">
        <f t="shared" si="4"/>
        <v>0.3181818182</v>
      </c>
      <c r="AD28" s="15">
        <f t="shared" si="1"/>
        <v>0.3333333333</v>
      </c>
      <c r="AE28" s="16">
        <f t="shared" si="2"/>
        <v>1</v>
      </c>
      <c r="AF28" s="16"/>
      <c r="AG28" s="16">
        <f t="shared" si="6"/>
        <v>1</v>
      </c>
      <c r="AH28" s="15">
        <f>IF($E28="","",IFERROR((Weights!$B$2*$O28 + Weights!$B$3*$AE28 + Weights!$B$4*$AD28 + Weights!$B$5*(1-$AC28) + Weights!$B$6*$AF28 + Weights!$B$7*$AG28)/SUM(Weights!$B$2:$B$7),"" ))</f>
        <v>0.7522727273</v>
      </c>
      <c r="AI28" s="15">
        <f>IF($E28="","",IF($O28=0,0,IFERROR($AH28/MAX(Weights!$B$8,$Y28)/MAX(Weights!$B$9,IF($Z28="",0,$Z28)), "")))</f>
        <v>0.5699035813</v>
      </c>
      <c r="AJ28" s="17"/>
    </row>
    <row r="29" ht="15.75" customHeight="1">
      <c r="A29" s="6">
        <v>1.50501042026E11</v>
      </c>
      <c r="B29" s="7">
        <v>46026.0</v>
      </c>
      <c r="C29" s="6" t="s">
        <v>256</v>
      </c>
      <c r="D29" s="8" t="s">
        <v>85</v>
      </c>
      <c r="E29" s="6" t="s">
        <v>94</v>
      </c>
      <c r="F29" s="9" t="str">
        <f>IF($E29="","",VLOOKUP($E29,Benchmark_URLs!$A$2:$L$46,4,FALSE))</f>
        <v>https://learn.microsoft.com/en-us/azure/architecture/</v>
      </c>
      <c r="G29" s="10"/>
      <c r="H29" s="10" t="str">
        <f>IF($E29="","",VLOOKUP($E29,Benchmark_URLs!$A$2:$L$46,6,FALSE))</f>
        <v>html</v>
      </c>
      <c r="I29" s="10" t="str">
        <f>IF($E29="","",VLOOKUP($E29,Benchmark_URLs!$A$2:$L$46,7,FALSE))</f>
        <v>Y</v>
      </c>
      <c r="J29" s="10" t="str">
        <f>IF($E29="","",VLOOKUP($E29,Benchmark_URLs!$A$2:$L$46,8,FALSE))</f>
        <v>N</v>
      </c>
      <c r="K29" s="10" t="str">
        <f>IF($E29="","",VLOOKUP($E29,Benchmark_URLs!$A$2:$L$46,9,FALSE))</f>
        <v>N</v>
      </c>
      <c r="L29" s="10" t="str">
        <f>IF($E29="","",VLOOKUP($E29,Benchmark_URLs!$A$2:$L$46,10,FALSE))</f>
        <v>Y</v>
      </c>
      <c r="M29" s="10">
        <f>IF($E29="","",VLOOKUP($E29,Benchmark_URLs!$A$2:$L$46,11,FALSE))</f>
        <v>3000</v>
      </c>
      <c r="N29" s="11">
        <v>200.0</v>
      </c>
      <c r="O29" s="11">
        <v>1.0</v>
      </c>
      <c r="P29" s="11">
        <v>1.0</v>
      </c>
      <c r="Q29" s="12">
        <v>35000.0</v>
      </c>
      <c r="R29" s="12">
        <v>90000.0</v>
      </c>
      <c r="S29" s="12">
        <v>55000.0</v>
      </c>
      <c r="T29" s="11">
        <v>1.0</v>
      </c>
      <c r="U29" s="11">
        <v>0.0</v>
      </c>
      <c r="V29" s="11">
        <v>0.0</v>
      </c>
      <c r="W29" s="12">
        <v>250.0</v>
      </c>
      <c r="X29" s="19"/>
      <c r="Y29" s="13">
        <v>0.31</v>
      </c>
      <c r="Z29" s="13">
        <v>3.0</v>
      </c>
      <c r="AA29" s="10"/>
      <c r="AB29" s="6" t="s">
        <v>264</v>
      </c>
      <c r="AC29" s="15">
        <f t="shared" si="4"/>
        <v>0.6111111111</v>
      </c>
      <c r="AD29" s="15">
        <f t="shared" si="1"/>
        <v>0.3333333333</v>
      </c>
      <c r="AE29" s="16">
        <f t="shared" si="2"/>
        <v>1</v>
      </c>
      <c r="AF29" s="16"/>
      <c r="AG29" s="16">
        <f t="shared" si="6"/>
        <v>1</v>
      </c>
      <c r="AH29" s="15">
        <f>IF($E29="","",IFERROR((Weights!$B$2*$O29 + Weights!$B$3*$AE29 + Weights!$B$4*$AD29 + Weights!$B$5*(1-$AC29) + Weights!$B$6*$AF29 + Weights!$B$7*$AG29)/SUM(Weights!$B$2:$B$7),"" ))</f>
        <v>0.7083333333</v>
      </c>
      <c r="AI29" s="15">
        <f>IF($E29="","",IF($O29=0,0,IFERROR($AH29/MAX(Weights!$B$8,$Y29)/MAX(Weights!$B$9,IF($Z29="",0,$Z29)), "")))</f>
        <v>0.7616487455</v>
      </c>
      <c r="AJ29" s="17"/>
    </row>
    <row r="30" ht="15.75" customHeight="1">
      <c r="A30" s="6">
        <v>1.51101042026E11</v>
      </c>
      <c r="B30" s="7">
        <v>46026.0</v>
      </c>
      <c r="C30" s="6" t="s">
        <v>256</v>
      </c>
      <c r="D30" s="6" t="s">
        <v>121</v>
      </c>
      <c r="E30" s="6" t="s">
        <v>120</v>
      </c>
      <c r="F30" s="9" t="str">
        <f>IF($E30="","",VLOOKUP($E30,Benchmark_URLs!$A$2:$L$46,4,FALSE))</f>
        <v>https://www.federalreserve.gov/supervisionreg/srletters/sr1107.pdf</v>
      </c>
      <c r="G30" s="10"/>
      <c r="H30" s="10" t="str">
        <f>IF($E30="","",VLOOKUP($E30,Benchmark_URLs!$A$2:$L$46,6,FALSE))</f>
        <v>pdf</v>
      </c>
      <c r="I30" s="10" t="str">
        <f>IF($E30="","",VLOOKUP($E30,Benchmark_URLs!$A$2:$L$46,7,FALSE))</f>
        <v>N</v>
      </c>
      <c r="J30" s="10" t="str">
        <f>IF($E30="","",VLOOKUP($E30,Benchmark_URLs!$A$2:$L$46,8,FALSE))</f>
        <v>N</v>
      </c>
      <c r="K30" s="10" t="str">
        <f>IF($E30="","",VLOOKUP($E30,Benchmark_URLs!$A$2:$L$46,9,FALSE))</f>
        <v>N</v>
      </c>
      <c r="L30" s="10" t="str">
        <f>IF($E30="","",VLOOKUP($E30,Benchmark_URLs!$A$2:$L$46,10,FALSE))</f>
        <v>Y</v>
      </c>
      <c r="M30" s="10">
        <f>IF($E30="","",VLOOKUP($E30,Benchmark_URLs!$A$2:$L$46,11,FALSE))</f>
        <v>8000</v>
      </c>
      <c r="N30" s="11">
        <v>200.0</v>
      </c>
      <c r="O30" s="11">
        <v>1.0</v>
      </c>
      <c r="P30" s="11">
        <v>0.0</v>
      </c>
      <c r="Q30" s="12">
        <v>0.0</v>
      </c>
      <c r="R30" s="12">
        <v>0.0</v>
      </c>
      <c r="S30" s="12">
        <v>0.0</v>
      </c>
      <c r="T30" s="11">
        <v>0.0</v>
      </c>
      <c r="U30" s="11">
        <v>0.0</v>
      </c>
      <c r="V30" s="11">
        <v>0.0</v>
      </c>
      <c r="W30" s="12">
        <v>0.0</v>
      </c>
      <c r="X30" s="19"/>
      <c r="Y30" s="13">
        <v>0.7</v>
      </c>
      <c r="Z30" s="13">
        <v>3.0</v>
      </c>
      <c r="AA30" s="10"/>
      <c r="AB30" s="10"/>
      <c r="AC30" s="14">
        <v>0.0</v>
      </c>
      <c r="AD30" s="15">
        <f t="shared" si="1"/>
        <v>0</v>
      </c>
      <c r="AE30" s="16">
        <f t="shared" si="2"/>
        <v>0</v>
      </c>
      <c r="AF30" s="16"/>
      <c r="AG30" s="11">
        <v>0.0</v>
      </c>
      <c r="AH30" s="15">
        <f>IF($E30="","",IFERROR((Weights!$B$2*$O30 + Weights!$B$3*$AE30 + Weights!$B$4*$AD30 + Weights!$B$5*(1-$AC30) + Weights!$B$6*$AF30 + Weights!$B$7*$AG30)/SUM(Weights!$B$2:$B$7),"" ))</f>
        <v>0.45</v>
      </c>
      <c r="AI30" s="15">
        <f>IF($E30="","",IF($O30=0,0,IFERROR($AH30/MAX(Weights!$B$8,$Y30)/MAX(Weights!$B$9,IF($Z30="",0,$Z30)), "")))</f>
        <v>0.2142857143</v>
      </c>
      <c r="AJ30" s="17"/>
    </row>
    <row r="31" ht="15.75" customHeight="1">
      <c r="A31" s="6">
        <v>1.51301042026E11</v>
      </c>
      <c r="B31" s="7">
        <v>46026.0</v>
      </c>
      <c r="C31" s="6" t="s">
        <v>256</v>
      </c>
      <c r="D31" s="6" t="s">
        <v>121</v>
      </c>
      <c r="E31" s="6" t="s">
        <v>126</v>
      </c>
      <c r="F31" s="9" t="str">
        <f>IF($E31="","",VLOOKUP($E31,Benchmark_URLs!$A$2:$L$46,4,FALSE))</f>
        <v>https://www.fdic.gov/resources/supervision-and-examinations/examination-policies-manual/risk-management-manual-complete.pdf</v>
      </c>
      <c r="G31" s="10"/>
      <c r="H31" s="10" t="str">
        <f>IF($E31="","",VLOOKUP($E31,Benchmark_URLs!$A$2:$L$46,6,FALSE))</f>
        <v>pdf</v>
      </c>
      <c r="I31" s="10" t="str">
        <f>IF($E31="","",VLOOKUP($E31,Benchmark_URLs!$A$2:$L$46,7,FALSE))</f>
        <v>N</v>
      </c>
      <c r="J31" s="10" t="str">
        <f>IF($E31="","",VLOOKUP($E31,Benchmark_URLs!$A$2:$L$46,8,FALSE))</f>
        <v>N</v>
      </c>
      <c r="K31" s="10" t="str">
        <f>IF($E31="","",VLOOKUP($E31,Benchmark_URLs!$A$2:$L$46,9,FALSE))</f>
        <v>N</v>
      </c>
      <c r="L31" s="10" t="str">
        <f>IF($E31="","",VLOOKUP($E31,Benchmark_URLs!$A$2:$L$46,10,FALSE))</f>
        <v>Y</v>
      </c>
      <c r="M31" s="10">
        <f>IF($E31="","",VLOOKUP($E31,Benchmark_URLs!$A$2:$L$46,11,FALSE))</f>
        <v>15000</v>
      </c>
      <c r="N31" s="11">
        <v>200.0</v>
      </c>
      <c r="O31" s="11">
        <v>1.0</v>
      </c>
      <c r="P31" s="11">
        <v>0.0</v>
      </c>
      <c r="Q31" s="12">
        <v>0.0</v>
      </c>
      <c r="R31" s="12">
        <v>0.0</v>
      </c>
      <c r="S31" s="12">
        <v>0.0</v>
      </c>
      <c r="T31" s="11">
        <v>0.0</v>
      </c>
      <c r="U31" s="11">
        <v>0.0</v>
      </c>
      <c r="V31" s="11">
        <v>0.0</v>
      </c>
      <c r="W31" s="12">
        <v>0.0</v>
      </c>
      <c r="X31" s="19"/>
      <c r="Y31" s="13">
        <v>1.89</v>
      </c>
      <c r="Z31" s="13">
        <v>3.0</v>
      </c>
      <c r="AA31" s="10"/>
      <c r="AB31" s="10"/>
      <c r="AC31" s="14">
        <v>0.0</v>
      </c>
      <c r="AD31" s="15">
        <f t="shared" si="1"/>
        <v>0</v>
      </c>
      <c r="AE31" s="16">
        <f t="shared" si="2"/>
        <v>0</v>
      </c>
      <c r="AF31" s="16"/>
      <c r="AG31" s="11">
        <v>0.0</v>
      </c>
      <c r="AH31" s="15">
        <f>IF($E31="","",IFERROR((Weights!$B$2*$O31 + Weights!$B$3*$AE31 + Weights!$B$4*$AD31 + Weights!$B$5*(1-$AC31) + Weights!$B$6*$AF31 + Weights!$B$7*$AG31)/SUM(Weights!$B$2:$B$7),"" ))</f>
        <v>0.45</v>
      </c>
      <c r="AI31" s="15">
        <f>IF($E31="","",IF($O31=0,0,IFERROR($AH31/MAX(Weights!$B$8,$Y31)/MAX(Weights!$B$9,IF($Z31="",0,$Z31)), "")))</f>
        <v>0.07936507937</v>
      </c>
      <c r="AJ31" s="17"/>
    </row>
    <row r="32" ht="15.75" customHeight="1">
      <c r="A32" s="6">
        <v>1.51601042026E11</v>
      </c>
      <c r="B32" s="7">
        <v>46026.0</v>
      </c>
      <c r="C32" s="6" t="s">
        <v>256</v>
      </c>
      <c r="D32" s="2" t="s">
        <v>162</v>
      </c>
      <c r="E32" s="6" t="s">
        <v>161</v>
      </c>
      <c r="F32" s="9" t="str">
        <f>IF($E32="","",VLOOKUP($E32,Benchmark_URLs!$A$2:$L$46,4,FALSE))</f>
        <v>http://www.sec.gov</v>
      </c>
      <c r="G32" s="10"/>
      <c r="H32" s="10" t="str">
        <f>IF($E32="","",VLOOKUP($E32,Benchmark_URLs!$A$2:$L$46,6,FALSE))</f>
        <v>html</v>
      </c>
      <c r="I32" s="10" t="str">
        <f>IF($E32="","",VLOOKUP($E32,Benchmark_URLs!$A$2:$L$46,7,FALSE))</f>
        <v>N</v>
      </c>
      <c r="J32" s="10" t="str">
        <f>IF($E32="","",VLOOKUP($E32,Benchmark_URLs!$A$2:$L$46,8,FALSE))</f>
        <v>N</v>
      </c>
      <c r="K32" s="10" t="str">
        <f>IF($E32="","",VLOOKUP($E32,Benchmark_URLs!$A$2:$L$46,9,FALSE))</f>
        <v>N</v>
      </c>
      <c r="L32" s="10" t="str">
        <f>IF($E32="","",VLOOKUP($E32,Benchmark_URLs!$A$2:$L$46,10,FALSE))</f>
        <v>Y</v>
      </c>
      <c r="M32" s="10">
        <f>IF($E32="","",VLOOKUP($E32,Benchmark_URLs!$A$2:$L$46,11,FALSE))</f>
        <v>500</v>
      </c>
      <c r="N32" s="11">
        <v>200.0</v>
      </c>
      <c r="O32" s="11">
        <v>1.0</v>
      </c>
      <c r="P32" s="11">
        <v>0.0</v>
      </c>
      <c r="Q32" s="12">
        <v>6000.0</v>
      </c>
      <c r="R32" s="12">
        <v>35000.0</v>
      </c>
      <c r="S32" s="12">
        <v>29000.0</v>
      </c>
      <c r="T32" s="11">
        <v>1.0</v>
      </c>
      <c r="U32" s="11">
        <v>1.0</v>
      </c>
      <c r="V32" s="11">
        <v>0.0</v>
      </c>
      <c r="W32" s="12">
        <v>200.0</v>
      </c>
      <c r="X32" s="19"/>
      <c r="Y32" s="13">
        <v>0.15</v>
      </c>
      <c r="Z32" s="13">
        <v>3.0</v>
      </c>
      <c r="AA32" s="10"/>
      <c r="AB32" s="6" t="s">
        <v>265</v>
      </c>
      <c r="AC32" s="15">
        <f t="shared" ref="AC32:AC250" si="7">IF($E32="","",IF($R32&gt;0,MIN(1,$S32/$R32),""))</f>
        <v>0.8285714286</v>
      </c>
      <c r="AD32" s="15">
        <f t="shared" si="1"/>
        <v>0.6666666667</v>
      </c>
      <c r="AE32" s="16">
        <f t="shared" si="2"/>
        <v>1</v>
      </c>
      <c r="AF32" s="16"/>
      <c r="AG32" s="16">
        <f t="shared" ref="AG32:AG42" si="8">IF($E32="","",IF($I32="Y",IFERROR($P32,0),1))</f>
        <v>1</v>
      </c>
      <c r="AH32" s="15">
        <f>IF($E32="","",IFERROR((Weights!$B$2*$O32 + Weights!$B$3*$AE32 + Weights!$B$4*$AD32 + Weights!$B$5*(1-$AC32) + Weights!$B$6*$AF32 + Weights!$B$7*$AG32)/SUM(Weights!$B$2:$B$7),"" ))</f>
        <v>0.7257142857</v>
      </c>
      <c r="AI32" s="15">
        <f>IF($E32="","",IF($O32=0,0,IFERROR($AH32/MAX(Weights!$B$8,$Y32)/MAX(Weights!$B$9,IF($Z32="",0,$Z32)), "")))</f>
        <v>0.9676190476</v>
      </c>
      <c r="AJ32" s="17"/>
    </row>
    <row r="33" ht="15.75" customHeight="1">
      <c r="A33" s="6">
        <v>1.52401042026E11</v>
      </c>
      <c r="B33" s="7">
        <v>46026.0</v>
      </c>
      <c r="C33" s="6" t="s">
        <v>256</v>
      </c>
      <c r="D33" s="2" t="s">
        <v>162</v>
      </c>
      <c r="E33" s="6" t="s">
        <v>166</v>
      </c>
      <c r="F33" s="9" t="str">
        <f>IF($E33="","",VLOOKUP($E33,Benchmark_URLs!$A$2:$L$46,4,FALSE))</f>
        <v>http://www.fdic.gov</v>
      </c>
      <c r="G33" s="10"/>
      <c r="H33" s="10" t="str">
        <f>IF($E33="","",VLOOKUP($E33,Benchmark_URLs!$A$2:$L$46,6,FALSE))</f>
        <v>html</v>
      </c>
      <c r="I33" s="10" t="str">
        <f>IF($E33="","",VLOOKUP($E33,Benchmark_URLs!$A$2:$L$46,7,FALSE))</f>
        <v>N</v>
      </c>
      <c r="J33" s="10" t="str">
        <f>IF($E33="","",VLOOKUP($E33,Benchmark_URLs!$A$2:$L$46,8,FALSE))</f>
        <v>N</v>
      </c>
      <c r="K33" s="10" t="str">
        <f>IF($E33="","",VLOOKUP($E33,Benchmark_URLs!$A$2:$L$46,9,FALSE))</f>
        <v>N</v>
      </c>
      <c r="L33" s="10" t="str">
        <f>IF($E33="","",VLOOKUP($E33,Benchmark_URLs!$A$2:$L$46,10,FALSE))</f>
        <v>Y</v>
      </c>
      <c r="M33" s="10">
        <f>IF($E33="","",VLOOKUP($E33,Benchmark_URLs!$A$2:$L$46,11,FALSE))</f>
        <v>500</v>
      </c>
      <c r="N33" s="11">
        <v>200.0</v>
      </c>
      <c r="O33" s="11">
        <v>1.0</v>
      </c>
      <c r="P33" s="11">
        <v>0.0</v>
      </c>
      <c r="Q33" s="12">
        <v>7500.0</v>
      </c>
      <c r="R33" s="12">
        <v>55000.0</v>
      </c>
      <c r="S33" s="12">
        <v>47500.0</v>
      </c>
      <c r="T33" s="11">
        <v>1.0</v>
      </c>
      <c r="U33" s="11">
        <v>1.0</v>
      </c>
      <c r="V33" s="11">
        <v>0.0</v>
      </c>
      <c r="W33" s="12">
        <v>300.0</v>
      </c>
      <c r="X33" s="19"/>
      <c r="Y33" s="13">
        <v>0.23</v>
      </c>
      <c r="Z33" s="13">
        <v>3.0</v>
      </c>
      <c r="AA33" s="10"/>
      <c r="AB33" s="6" t="s">
        <v>266</v>
      </c>
      <c r="AC33" s="15">
        <f t="shared" si="7"/>
        <v>0.8636363636</v>
      </c>
      <c r="AD33" s="15">
        <f t="shared" si="1"/>
        <v>0.6666666667</v>
      </c>
      <c r="AE33" s="16">
        <f t="shared" si="2"/>
        <v>1</v>
      </c>
      <c r="AF33" s="16"/>
      <c r="AG33" s="16">
        <f t="shared" si="8"/>
        <v>1</v>
      </c>
      <c r="AH33" s="15">
        <f>IF($E33="","",IFERROR((Weights!$B$2*$O33 + Weights!$B$3*$AE33 + Weights!$B$4*$AD33 + Weights!$B$5*(1-$AC33) + Weights!$B$6*$AF33 + Weights!$B$7*$AG33)/SUM(Weights!$B$2:$B$7),"" ))</f>
        <v>0.7204545455</v>
      </c>
      <c r="AI33" s="15">
        <f>IF($E33="","",IF($O33=0,0,IFERROR($AH33/MAX(Weights!$B$8,$Y33)/MAX(Weights!$B$9,IF($Z33="",0,$Z33)), "")))</f>
        <v>0.9606060606</v>
      </c>
      <c r="AJ33" s="17"/>
    </row>
    <row r="34" ht="15.75" customHeight="1">
      <c r="A34" s="6">
        <v>1.53501042026E11</v>
      </c>
      <c r="B34" s="7">
        <v>46026.0</v>
      </c>
      <c r="C34" s="6" t="s">
        <v>256</v>
      </c>
      <c r="D34" s="6" t="s">
        <v>174</v>
      </c>
      <c r="E34" s="6" t="s">
        <v>173</v>
      </c>
      <c r="F34" s="9" t="str">
        <f>IF($E34="","",VLOOKUP($E34,Benchmark_URLs!$A$2:$L$46,4,FALSE))</f>
        <v>https://www.bcg.com/capabilities/digital-technology-data/insights</v>
      </c>
      <c r="G34" s="10"/>
      <c r="H34" s="10" t="str">
        <f>IF($E34="","",VLOOKUP($E34,Benchmark_URLs!$A$2:$L$46,6,FALSE))</f>
        <v>html</v>
      </c>
      <c r="I34" s="10" t="str">
        <f>IF($E34="","",VLOOKUP($E34,Benchmark_URLs!$A$2:$L$46,7,FALSE))</f>
        <v>Y</v>
      </c>
      <c r="J34" s="10" t="str">
        <f>IF($E34="","",VLOOKUP($E34,Benchmark_URLs!$A$2:$L$46,8,FALSE))</f>
        <v>N</v>
      </c>
      <c r="K34" s="10" t="str">
        <f>IF($E34="","",VLOOKUP($E34,Benchmark_URLs!$A$2:$L$46,9,FALSE))</f>
        <v>Y</v>
      </c>
      <c r="L34" s="10" t="str">
        <f>IF($E34="","",VLOOKUP($E34,Benchmark_URLs!$A$2:$L$46,10,FALSE))</f>
        <v>Y</v>
      </c>
      <c r="M34" s="10">
        <f>IF($E34="","",VLOOKUP($E34,Benchmark_URLs!$A$2:$L$46,11,FALSE))</f>
        <v>2500</v>
      </c>
      <c r="N34" s="11">
        <v>200.0</v>
      </c>
      <c r="O34" s="11">
        <v>1.0</v>
      </c>
      <c r="P34" s="11">
        <v>0.0</v>
      </c>
      <c r="Q34" s="12">
        <v>0.0</v>
      </c>
      <c r="R34" s="12">
        <v>0.0</v>
      </c>
      <c r="S34" s="12">
        <v>0.0</v>
      </c>
      <c r="T34" s="11">
        <v>0.0</v>
      </c>
      <c r="U34" s="11">
        <v>0.0</v>
      </c>
      <c r="V34" s="11">
        <v>0.0</v>
      </c>
      <c r="W34" s="12">
        <v>0.0</v>
      </c>
      <c r="X34" s="19"/>
      <c r="Y34" s="13">
        <v>11.31</v>
      </c>
      <c r="Z34" s="13">
        <v>3.0</v>
      </c>
      <c r="AA34" s="10"/>
      <c r="AB34" s="6" t="s">
        <v>267</v>
      </c>
      <c r="AC34" s="15" t="str">
        <f t="shared" si="7"/>
        <v/>
      </c>
      <c r="AD34" s="15">
        <f t="shared" si="1"/>
        <v>0</v>
      </c>
      <c r="AE34" s="16">
        <f t="shared" si="2"/>
        <v>0</v>
      </c>
      <c r="AF34" s="16"/>
      <c r="AG34" s="16">
        <f t="shared" si="8"/>
        <v>0</v>
      </c>
      <c r="AH34" s="15">
        <f>IF($E34="","",IFERROR((Weights!$B$2*$O34 + Weights!$B$3*$AE34 + Weights!$B$4*$AD34 + Weights!$B$5*(1-$AC34) + Weights!$B$6*$AF34 + Weights!$B$7*$AG34)/SUM(Weights!$B$2:$B$7),"" ))</f>
        <v>0.45</v>
      </c>
      <c r="AI34" s="15">
        <f>IF($E34="","",IF($O34=0,0,IFERROR($AH34/MAX(Weights!$B$8,$Y34)/MAX(Weights!$B$9,IF($Z34="",0,$Z34)), "")))</f>
        <v>0.01326259947</v>
      </c>
      <c r="AJ34" s="17"/>
    </row>
    <row r="35" ht="15.75" customHeight="1">
      <c r="A35" s="6">
        <v>1.54001042026E11</v>
      </c>
      <c r="B35" s="7">
        <v>46026.0</v>
      </c>
      <c r="C35" s="6" t="s">
        <v>256</v>
      </c>
      <c r="D35" s="6" t="s">
        <v>174</v>
      </c>
      <c r="E35" s="6" t="s">
        <v>179</v>
      </c>
      <c r="F35" s="9" t="str">
        <f>IF($E35="","",VLOOKUP($E35,Benchmark_URLs!$A$2:$L$46,4,FALSE))</f>
        <v>https://www.mckinsey.com/featured-insights/mckinsey-explainers/what-is-digital-transformation</v>
      </c>
      <c r="G35" s="10"/>
      <c r="H35" s="10" t="str">
        <f>IF($E35="","",VLOOKUP($E35,Benchmark_URLs!$A$2:$L$46,6,FALSE))</f>
        <v>html</v>
      </c>
      <c r="I35" s="10" t="str">
        <f>IF($E35="","",VLOOKUP($E35,Benchmark_URLs!$A$2:$L$46,7,FALSE))</f>
        <v>Y</v>
      </c>
      <c r="J35" s="10" t="str">
        <f>IF($E35="","",VLOOKUP($E35,Benchmark_URLs!$A$2:$L$46,8,FALSE))</f>
        <v>N</v>
      </c>
      <c r="K35" s="10" t="str">
        <f>IF($E35="","",VLOOKUP($E35,Benchmark_URLs!$A$2:$L$46,9,FALSE))</f>
        <v>N</v>
      </c>
      <c r="L35" s="10" t="str">
        <f>IF($E35="","",VLOOKUP($E35,Benchmark_URLs!$A$2:$L$46,10,FALSE))</f>
        <v>Y</v>
      </c>
      <c r="M35" s="10">
        <f>IF($E35="","",VLOOKUP($E35,Benchmark_URLs!$A$2:$L$46,11,FALSE))</f>
        <v>2500</v>
      </c>
      <c r="N35" s="11">
        <v>200.0</v>
      </c>
      <c r="O35" s="11">
        <v>1.0</v>
      </c>
      <c r="P35" s="11">
        <v>0.0</v>
      </c>
      <c r="Q35" s="12">
        <v>0.0</v>
      </c>
      <c r="R35" s="12">
        <v>0.0</v>
      </c>
      <c r="S35" s="12">
        <v>0.0</v>
      </c>
      <c r="T35" s="11">
        <v>0.0</v>
      </c>
      <c r="U35" s="11">
        <v>0.0</v>
      </c>
      <c r="V35" s="11">
        <v>0.0</v>
      </c>
      <c r="W35" s="12">
        <v>0.0</v>
      </c>
      <c r="X35" s="19"/>
      <c r="Y35" s="13">
        <v>15.39</v>
      </c>
      <c r="Z35" s="13">
        <v>3.0</v>
      </c>
      <c r="AA35" s="10"/>
      <c r="AB35" s="6" t="s">
        <v>267</v>
      </c>
      <c r="AC35" s="15" t="str">
        <f t="shared" si="7"/>
        <v/>
      </c>
      <c r="AD35" s="15">
        <f t="shared" si="1"/>
        <v>0</v>
      </c>
      <c r="AE35" s="16">
        <f t="shared" si="2"/>
        <v>0</v>
      </c>
      <c r="AF35" s="16"/>
      <c r="AG35" s="16">
        <f t="shared" si="8"/>
        <v>0</v>
      </c>
      <c r="AH35" s="15">
        <f>IF($E35="","",IFERROR((Weights!$B$2*$O35 + Weights!$B$3*$AE35 + Weights!$B$4*$AD35 + Weights!$B$5*(1-$AC35) + Weights!$B$6*$AF35 + Weights!$B$7*$AG35)/SUM(Weights!$B$2:$B$7),"" ))</f>
        <v>0.45</v>
      </c>
      <c r="AI35" s="15">
        <f>IF($E35="","",IF($O35=0,0,IFERROR($AH35/MAX(Weights!$B$8,$Y35)/MAX(Weights!$B$9,IF($Z35="",0,$Z35)), "")))</f>
        <v>0.009746588694</v>
      </c>
      <c r="AJ35" s="17"/>
    </row>
    <row r="36" ht="15.75" customHeight="1">
      <c r="A36" s="6">
        <v>1.54501042026E11</v>
      </c>
      <c r="B36" s="7">
        <v>46026.0</v>
      </c>
      <c r="C36" s="6" t="s">
        <v>256</v>
      </c>
      <c r="D36" s="2" t="s">
        <v>207</v>
      </c>
      <c r="E36" s="2" t="s">
        <v>206</v>
      </c>
      <c r="F36" s="9" t="str">
        <f>IF($E36="","",VLOOKUP($E36,Benchmark_URLs!$A$2:$L$46,4,FALSE))</f>
        <v>https://search.worldbank.org/api/v2/news?format=json&amp;rows=20&amp;fct=displayconttype_exact,topic_exact,lang_exact,count_exact,countcode_exact,admreg_exact&amp;src=cq55&amp;apilang=en&amp;lang_exact=English&amp;displayconttype_exact=Press%20Release&amp;os=0</v>
      </c>
      <c r="G36" s="10"/>
      <c r="H36" s="10" t="str">
        <f>IF($E36="","",VLOOKUP($E36,Benchmark_URLs!$A$2:$L$46,6,FALSE))</f>
        <v>json</v>
      </c>
      <c r="I36" s="10" t="str">
        <f>IF($E36="","",VLOOKUP($E36,Benchmark_URLs!$A$2:$L$46,7,FALSE))</f>
        <v>N</v>
      </c>
      <c r="J36" s="10" t="str">
        <f>IF($E36="","",VLOOKUP($E36,Benchmark_URLs!$A$2:$L$46,8,FALSE))</f>
        <v>N</v>
      </c>
      <c r="K36" s="10" t="str">
        <f>IF($E36="","",VLOOKUP($E36,Benchmark_URLs!$A$2:$L$46,9,FALSE))</f>
        <v>Y</v>
      </c>
      <c r="L36" s="10" t="str">
        <f>IF($E36="","",VLOOKUP($E36,Benchmark_URLs!$A$2:$L$46,10,FALSE))</f>
        <v>Y</v>
      </c>
      <c r="M36" s="10">
        <f>IF($E36="","",VLOOKUP($E36,Benchmark_URLs!$A$2:$L$46,11,FALSE))</f>
        <v>1000</v>
      </c>
      <c r="N36" s="11">
        <v>200.0</v>
      </c>
      <c r="O36" s="11">
        <v>1.0</v>
      </c>
      <c r="P36" s="11">
        <v>0.0</v>
      </c>
      <c r="Q36" s="12">
        <v>0.0</v>
      </c>
      <c r="R36" s="12">
        <v>0.0</v>
      </c>
      <c r="S36" s="12">
        <v>0.0</v>
      </c>
      <c r="T36" s="11">
        <v>0.0</v>
      </c>
      <c r="U36" s="11">
        <v>0.0</v>
      </c>
      <c r="V36" s="11">
        <v>0.0</v>
      </c>
      <c r="W36" s="12">
        <v>0.0</v>
      </c>
      <c r="X36" s="19"/>
      <c r="Y36" s="13">
        <v>4.09</v>
      </c>
      <c r="Z36" s="13">
        <v>3.0</v>
      </c>
      <c r="AA36" s="10"/>
      <c r="AB36" s="6" t="s">
        <v>267</v>
      </c>
      <c r="AC36" s="15" t="str">
        <f t="shared" si="7"/>
        <v/>
      </c>
      <c r="AD36" s="15">
        <f t="shared" si="1"/>
        <v>0</v>
      </c>
      <c r="AE36" s="16">
        <f t="shared" si="2"/>
        <v>0</v>
      </c>
      <c r="AF36" s="16"/>
      <c r="AG36" s="16">
        <f t="shared" si="8"/>
        <v>1</v>
      </c>
      <c r="AH36" s="15">
        <f>IF($E36="","",IFERROR((Weights!$B$2*$O36 + Weights!$B$3*$AE36 + Weights!$B$4*$AD36 + Weights!$B$5*(1-$AC36) + Weights!$B$6*$AF36 + Weights!$B$7*$AG36)/SUM(Weights!$B$2:$B$7),"" ))</f>
        <v>0.5</v>
      </c>
      <c r="AI36" s="15">
        <f>IF($E36="","",IF($O36=0,0,IFERROR($AH36/MAX(Weights!$B$8,$Y36)/MAX(Weights!$B$9,IF($Z36="",0,$Z36)), "")))</f>
        <v>0.04074979625</v>
      </c>
      <c r="AJ36" s="17"/>
    </row>
    <row r="37" ht="15.75" customHeight="1">
      <c r="A37" s="6">
        <v>1.54601042026E11</v>
      </c>
      <c r="B37" s="7">
        <v>46026.0</v>
      </c>
      <c r="C37" s="6" t="s">
        <v>256</v>
      </c>
      <c r="D37" s="2" t="s">
        <v>207</v>
      </c>
      <c r="E37" s="6" t="s">
        <v>213</v>
      </c>
      <c r="F37" s="9" t="str">
        <f>IF($E37="","",VLOOKUP($E37,Benchmark_URLs!$A$2:$L$46,4,FALSE))</f>
        <v>https://search.worldbank.org/api/v2/news?format=json&amp;rows=20&amp;fct=displayconttype_exact,topic_exact,lang_exact,count_exact,countcode_exact,admreg_exact&amp;src=cq55&amp;apilang=en&amp;lang_exact=English&amp;displayconttype_exact=Press%20Release&amp;os=20</v>
      </c>
      <c r="G37" s="10"/>
      <c r="H37" s="10" t="str">
        <f>IF($E37="","",VLOOKUP($E37,Benchmark_URLs!$A$2:$L$46,6,FALSE))</f>
        <v>json</v>
      </c>
      <c r="I37" s="10" t="str">
        <f>IF($E37="","",VLOOKUP($E37,Benchmark_URLs!$A$2:$L$46,7,FALSE))</f>
        <v>N</v>
      </c>
      <c r="J37" s="10" t="str">
        <f>IF($E37="","",VLOOKUP($E37,Benchmark_URLs!$A$2:$L$46,8,FALSE))</f>
        <v>N</v>
      </c>
      <c r="K37" s="10" t="str">
        <f>IF($E37="","",VLOOKUP($E37,Benchmark_URLs!$A$2:$L$46,9,FALSE))</f>
        <v>Y</v>
      </c>
      <c r="L37" s="10" t="str">
        <f>IF($E37="","",VLOOKUP($E37,Benchmark_URLs!$A$2:$L$46,10,FALSE))</f>
        <v>Y</v>
      </c>
      <c r="M37" s="10">
        <f>IF($E37="","",VLOOKUP($E37,Benchmark_URLs!$A$2:$L$46,11,FALSE))</f>
        <v>1000</v>
      </c>
      <c r="N37" s="11">
        <v>200.0</v>
      </c>
      <c r="O37" s="11">
        <v>1.0</v>
      </c>
      <c r="P37" s="11">
        <v>0.0</v>
      </c>
      <c r="Q37" s="12">
        <v>0.0</v>
      </c>
      <c r="R37" s="12">
        <v>0.0</v>
      </c>
      <c r="S37" s="12">
        <v>0.0</v>
      </c>
      <c r="T37" s="11">
        <v>0.0</v>
      </c>
      <c r="U37" s="11">
        <v>0.0</v>
      </c>
      <c r="V37" s="11">
        <v>0.0</v>
      </c>
      <c r="W37" s="12">
        <v>0.0</v>
      </c>
      <c r="X37" s="19"/>
      <c r="Y37" s="13">
        <v>3.98</v>
      </c>
      <c r="Z37" s="13">
        <v>3.0</v>
      </c>
      <c r="AA37" s="10"/>
      <c r="AB37" s="6" t="s">
        <v>267</v>
      </c>
      <c r="AC37" s="15" t="str">
        <f t="shared" si="7"/>
        <v/>
      </c>
      <c r="AD37" s="15">
        <f t="shared" si="1"/>
        <v>0</v>
      </c>
      <c r="AE37" s="16">
        <f t="shared" si="2"/>
        <v>0</v>
      </c>
      <c r="AF37" s="16"/>
      <c r="AG37" s="16">
        <f t="shared" si="8"/>
        <v>1</v>
      </c>
      <c r="AH37" s="15">
        <f>IF($E37="","",IFERROR((Weights!$B$2*$O37 + Weights!$B$3*$AE37 + Weights!$B$4*$AD37 + Weights!$B$5*(1-$AC37) + Weights!$B$6*$AF37 + Weights!$B$7*$AG37)/SUM(Weights!$B$2:$B$7),"" ))</f>
        <v>0.5</v>
      </c>
      <c r="AI37" s="15">
        <f>IF($E37="","",IF($O37=0,0,IFERROR($AH37/MAX(Weights!$B$8,$Y37)/MAX(Weights!$B$9,IF($Z37="",0,$Z37)), "")))</f>
        <v>0.0418760469</v>
      </c>
      <c r="AJ37" s="17"/>
    </row>
    <row r="38" ht="15.75" customHeight="1">
      <c r="A38" s="6">
        <v>1.33001042026E11</v>
      </c>
      <c r="B38" s="7">
        <v>46026.0</v>
      </c>
      <c r="C38" s="6" t="s">
        <v>256</v>
      </c>
      <c r="D38" s="10" t="s">
        <v>13</v>
      </c>
      <c r="E38" s="6" t="s">
        <v>12</v>
      </c>
      <c r="F38" s="9" t="str">
        <f>IF($E38="","",VLOOKUP($E38,Benchmark_URLs!$A$2:$L$46,4,FALSE))</f>
        <v>https://www.federalreserve.gov/supervisionreg.htm</v>
      </c>
      <c r="G38" s="10"/>
      <c r="H38" s="10" t="str">
        <f>IF($E38="","",VLOOKUP($E38,Benchmark_URLs!$A$2:$L$46,6,FALSE))</f>
        <v>html</v>
      </c>
      <c r="I38" s="10" t="str">
        <f>IF($E38="","",VLOOKUP($E38,Benchmark_URLs!$A$2:$L$46,7,FALSE))</f>
        <v>N</v>
      </c>
      <c r="J38" s="10" t="str">
        <f>IF($E38="","",VLOOKUP($E38,Benchmark_URLs!$A$2:$L$46,8,FALSE))</f>
        <v>N</v>
      </c>
      <c r="K38" s="10" t="str">
        <f>IF($E38="","",VLOOKUP($E38,Benchmark_URLs!$A$2:$L$46,9,FALSE))</f>
        <v>N</v>
      </c>
      <c r="L38" s="10" t="str">
        <f>IF($E38="","",VLOOKUP($E38,Benchmark_URLs!$A$2:$L$46,10,FALSE))</f>
        <v>Y</v>
      </c>
      <c r="M38" s="10">
        <f>IF($E38="","",VLOOKUP($E38,Benchmark_URLs!$A$2:$L$46,11,FALSE))</f>
        <v>4000</v>
      </c>
      <c r="N38" s="11">
        <v>200.0</v>
      </c>
      <c r="O38" s="11">
        <v>1.0</v>
      </c>
      <c r="P38" s="11">
        <v>0.0</v>
      </c>
      <c r="Q38" s="12">
        <v>6186.0</v>
      </c>
      <c r="R38" s="12">
        <v>8837.0</v>
      </c>
      <c r="S38" s="12">
        <v>1852.0</v>
      </c>
      <c r="T38" s="11">
        <v>1.0</v>
      </c>
      <c r="U38" s="11">
        <v>1.0</v>
      </c>
      <c r="V38" s="11">
        <v>0.0</v>
      </c>
      <c r="W38" s="12">
        <v>22.0</v>
      </c>
      <c r="X38" s="12"/>
      <c r="Y38" s="13">
        <v>30.92</v>
      </c>
      <c r="Z38" s="13">
        <v>5.0</v>
      </c>
      <c r="AA38" s="10"/>
      <c r="AB38" s="10"/>
      <c r="AC38" s="15">
        <f t="shared" si="7"/>
        <v>0.2095733846</v>
      </c>
      <c r="AD38" s="15">
        <f t="shared" si="1"/>
        <v>0.6666666667</v>
      </c>
      <c r="AE38" s="16">
        <f t="shared" si="2"/>
        <v>1</v>
      </c>
      <c r="AF38" s="11"/>
      <c r="AG38" s="16">
        <f t="shared" si="8"/>
        <v>1</v>
      </c>
      <c r="AH38" s="15">
        <f>IF($E38="","",IFERROR((Weights!$B$2*$O38 + Weights!$B$3*$AE38 + Weights!$B$4*$AD38 + Weights!$B$5*(1-$AC38) + Weights!$B$6*$AF38 + Weights!$B$7*$AG38)/SUM(Weights!$B$2:$B$7),"" ))</f>
        <v>0.8185639923</v>
      </c>
      <c r="AI38" s="15">
        <f>IF($E38="","",IF($O38=0,0,IFERROR($AH38/MAX(Weights!$B$8,$Y38)/MAX(Weights!$B$9,IF($Z38="",0,$Z38)), "")))</f>
        <v>0.005294721813</v>
      </c>
      <c r="AJ38" s="17"/>
    </row>
    <row r="39" ht="15.75" customHeight="1">
      <c r="A39" s="21">
        <v>1.71701042026E11</v>
      </c>
      <c r="B39" s="22">
        <v>46026.0</v>
      </c>
      <c r="C39" s="21" t="s">
        <v>268</v>
      </c>
      <c r="D39" s="23" t="s">
        <v>13</v>
      </c>
      <c r="E39" s="21" t="s">
        <v>12</v>
      </c>
      <c r="F39" s="24" t="str">
        <f>IF($E39="","",VLOOKUP($E39,Benchmark_URLs!$A$2:$L$46,4,FALSE))</f>
        <v>https://www.federalreserve.gov/supervisionreg.htm</v>
      </c>
      <c r="G39" s="23"/>
      <c r="H39" s="23" t="str">
        <f>IF($E39="","",VLOOKUP($E39,Benchmark_URLs!$A$2:$L$46,6,FALSE))</f>
        <v>html</v>
      </c>
      <c r="I39" s="23" t="str">
        <f>IF($E39="","",VLOOKUP($E39,Benchmark_URLs!$A$2:$L$46,7,FALSE))</f>
        <v>N</v>
      </c>
      <c r="J39" s="23" t="str">
        <f>IF($E39="","",VLOOKUP($E39,Benchmark_URLs!$A$2:$L$46,8,FALSE))</f>
        <v>N</v>
      </c>
      <c r="K39" s="23" t="str">
        <f>IF($E39="","",VLOOKUP($E39,Benchmark_URLs!$A$2:$L$46,9,FALSE))</f>
        <v>N</v>
      </c>
      <c r="L39" s="23" t="str">
        <f>IF($E39="","",VLOOKUP($E39,Benchmark_URLs!$A$2:$L$46,10,FALSE))</f>
        <v>Y</v>
      </c>
      <c r="M39" s="23">
        <f>IF($E39="","",VLOOKUP($E39,Benchmark_URLs!$A$2:$L$46,11,FALSE))</f>
        <v>4000</v>
      </c>
      <c r="N39" s="25">
        <v>200.0</v>
      </c>
      <c r="O39" s="25">
        <v>1.0</v>
      </c>
      <c r="P39" s="25">
        <v>0.0</v>
      </c>
      <c r="Q39" s="26">
        <v>9800.0</v>
      </c>
      <c r="R39" s="26">
        <v>9800.0</v>
      </c>
      <c r="S39" s="26">
        <v>0.0</v>
      </c>
      <c r="T39" s="25">
        <v>1.0</v>
      </c>
      <c r="U39" s="25">
        <v>1.0</v>
      </c>
      <c r="V39" s="25">
        <v>0.0</v>
      </c>
      <c r="W39" s="26">
        <v>0.0</v>
      </c>
      <c r="X39" s="26"/>
      <c r="Y39" s="27">
        <v>1.07</v>
      </c>
      <c r="Z39" s="27">
        <v>1.0</v>
      </c>
      <c r="AA39" s="23"/>
      <c r="AB39" s="21" t="s">
        <v>269</v>
      </c>
      <c r="AC39" s="28">
        <f t="shared" si="7"/>
        <v>0</v>
      </c>
      <c r="AD39" s="28">
        <f t="shared" si="1"/>
        <v>0.6666666667</v>
      </c>
      <c r="AE39" s="29">
        <f t="shared" si="2"/>
        <v>1</v>
      </c>
      <c r="AF39" s="25"/>
      <c r="AG39" s="29">
        <f t="shared" si="8"/>
        <v>1</v>
      </c>
      <c r="AH39" s="28">
        <f>IF($E39="","",IFERROR((Weights!$B$2*$O39 + Weights!$B$3*$AE39 + Weights!$B$4*$AD39 + Weights!$B$5*(1-$AC39) + Weights!$B$6*$AF39 + Weights!$B$7*$AG39)/SUM(Weights!$B$2:$B$7),"" ))</f>
        <v>0.85</v>
      </c>
      <c r="AI39" s="28">
        <f>IF($E39="","",IF($O39=0,0,IFERROR($AH39/MAX(Weights!$B$8,$Y39)/MAX(Weights!$B$9,IF($Z39="",0,$Z39)), "")))</f>
        <v>0.7943925234</v>
      </c>
      <c r="AJ39" s="30"/>
    </row>
    <row r="40" ht="15.75" customHeight="1">
      <c r="A40" s="6">
        <v>1.72401042026E11</v>
      </c>
      <c r="B40" s="7">
        <v>46026.0</v>
      </c>
      <c r="C40" s="6" t="s">
        <v>268</v>
      </c>
      <c r="D40" s="8" t="s">
        <v>13</v>
      </c>
      <c r="E40" s="6" t="s">
        <v>21</v>
      </c>
      <c r="F40" s="9" t="str">
        <f>IF($E40="","",VLOOKUP($E40,Benchmark_URLs!$A$2:$L$46,4,FALSE))</f>
        <v>https://www.occ.treas.gov/publications-and-resources/publications/comptrollers-handbook/index-comptrollers-handbook.html</v>
      </c>
      <c r="G40" s="10"/>
      <c r="H40" s="10" t="str">
        <f>IF($E40="","",VLOOKUP($E40,Benchmark_URLs!$A$2:$L$46,6,FALSE))</f>
        <v>html</v>
      </c>
      <c r="I40" s="10" t="str">
        <f>IF($E40="","",VLOOKUP($E40,Benchmark_URLs!$A$2:$L$46,7,FALSE))</f>
        <v>N</v>
      </c>
      <c r="J40" s="10" t="str">
        <f>IF($E40="","",VLOOKUP($E40,Benchmark_URLs!$A$2:$L$46,8,FALSE))</f>
        <v>N</v>
      </c>
      <c r="K40" s="10" t="str">
        <f>IF($E40="","",VLOOKUP($E40,Benchmark_URLs!$A$2:$L$46,9,FALSE))</f>
        <v>N</v>
      </c>
      <c r="L40" s="10" t="str">
        <f>IF($E40="","",VLOOKUP($E40,Benchmark_URLs!$A$2:$L$46,10,FALSE))</f>
        <v>Y</v>
      </c>
      <c r="M40" s="10">
        <f>IF($E40="","",VLOOKUP($E40,Benchmark_URLs!$A$2:$L$46,11,FALSE))</f>
        <v>3000</v>
      </c>
      <c r="N40" s="11">
        <v>200.0</v>
      </c>
      <c r="O40" s="11">
        <v>1.0</v>
      </c>
      <c r="P40" s="11">
        <v>0.0</v>
      </c>
      <c r="Q40" s="12">
        <v>24500.0</v>
      </c>
      <c r="R40" s="12">
        <v>24500.0</v>
      </c>
      <c r="S40" s="12">
        <v>1200.0</v>
      </c>
      <c r="T40" s="11">
        <v>1.0</v>
      </c>
      <c r="U40" s="11">
        <v>1.0</v>
      </c>
      <c r="V40" s="11">
        <v>0.0</v>
      </c>
      <c r="W40" s="12">
        <v>0.0</v>
      </c>
      <c r="X40" s="12"/>
      <c r="Y40" s="13">
        <v>1.28</v>
      </c>
      <c r="Z40" s="13">
        <v>1.0</v>
      </c>
      <c r="AA40" s="10"/>
      <c r="AB40" s="6" t="s">
        <v>270</v>
      </c>
      <c r="AC40" s="15">
        <f t="shared" si="7"/>
        <v>0.04897959184</v>
      </c>
      <c r="AD40" s="15">
        <f t="shared" si="1"/>
        <v>0.6666666667</v>
      </c>
      <c r="AE40" s="16">
        <f t="shared" si="2"/>
        <v>1</v>
      </c>
      <c r="AF40" s="16"/>
      <c r="AG40" s="16">
        <f t="shared" si="8"/>
        <v>1</v>
      </c>
      <c r="AH40" s="15">
        <f>IF($E40="","",IFERROR((Weights!$B$2*$O40 + Weights!$B$3*$AE40 + Weights!$B$4*$AD40 + Weights!$B$5*(1-$AC40) + Weights!$B$6*$AF40 + Weights!$B$7*$AG40)/SUM(Weights!$B$2:$B$7),"" ))</f>
        <v>0.8426530612</v>
      </c>
      <c r="AI40" s="15">
        <f>IF($E40="","",IF($O40=0,0,IFERROR($AH40/MAX(Weights!$B$8,$Y40)/MAX(Weights!$B$9,IF($Z40="",0,$Z40)), "")))</f>
        <v>0.6583227041</v>
      </c>
      <c r="AJ40" s="18" t="s">
        <v>271</v>
      </c>
    </row>
    <row r="41" ht="15.75" customHeight="1">
      <c r="A41" s="6">
        <v>1.73801042026E11</v>
      </c>
      <c r="B41" s="7">
        <v>46026.0</v>
      </c>
      <c r="C41" s="6" t="s">
        <v>268</v>
      </c>
      <c r="D41" s="8" t="s">
        <v>13</v>
      </c>
      <c r="E41" s="6" t="s">
        <v>26</v>
      </c>
      <c r="F41" s="9" t="str">
        <f>IF($E41="","",VLOOKUP($E41,Benchmark_URLs!$A$2:$L$46,4,FALSE))</f>
        <v>https://www.fdic.gov/bank-examinations/examination-manuals</v>
      </c>
      <c r="G41" s="10"/>
      <c r="H41" s="10" t="str">
        <f>IF($E41="","",VLOOKUP($E41,Benchmark_URLs!$A$2:$L$46,6,FALSE))</f>
        <v>html</v>
      </c>
      <c r="I41" s="10" t="str">
        <f>IF($E41="","",VLOOKUP($E41,Benchmark_URLs!$A$2:$L$46,7,FALSE))</f>
        <v>N</v>
      </c>
      <c r="J41" s="10" t="str">
        <f>IF($E41="","",VLOOKUP($E41,Benchmark_URLs!$A$2:$L$46,8,FALSE))</f>
        <v>N</v>
      </c>
      <c r="K41" s="10" t="str">
        <f>IF($E41="","",VLOOKUP($E41,Benchmark_URLs!$A$2:$L$46,9,FALSE))</f>
        <v>N</v>
      </c>
      <c r="L41" s="10" t="str">
        <f>IF($E41="","",VLOOKUP($E41,Benchmark_URLs!$A$2:$L$46,10,FALSE))</f>
        <v>Y</v>
      </c>
      <c r="M41" s="10">
        <f>IF($E41="","",VLOOKUP($E41,Benchmark_URLs!$A$2:$L$46,11,FALSE))</f>
        <v>2000</v>
      </c>
      <c r="N41" s="11">
        <v>200.0</v>
      </c>
      <c r="O41" s="11">
        <v>1.0</v>
      </c>
      <c r="P41" s="11">
        <v>0.0</v>
      </c>
      <c r="Q41" s="12">
        <v>7900.0</v>
      </c>
      <c r="R41" s="12">
        <v>7900.0</v>
      </c>
      <c r="S41" s="12">
        <v>1800.0</v>
      </c>
      <c r="T41" s="11">
        <v>1.0</v>
      </c>
      <c r="U41" s="11">
        <v>1.0</v>
      </c>
      <c r="V41" s="11">
        <v>0.0</v>
      </c>
      <c r="W41" s="12">
        <v>0.0</v>
      </c>
      <c r="X41" s="19"/>
      <c r="Y41" s="13">
        <v>1.56</v>
      </c>
      <c r="Z41" s="13">
        <v>1.0</v>
      </c>
      <c r="AA41" s="6" t="s">
        <v>272</v>
      </c>
      <c r="AB41" s="6" t="s">
        <v>273</v>
      </c>
      <c r="AC41" s="15">
        <f t="shared" si="7"/>
        <v>0.2278481013</v>
      </c>
      <c r="AD41" s="15">
        <f t="shared" si="1"/>
        <v>0.6666666667</v>
      </c>
      <c r="AE41" s="16">
        <f t="shared" si="2"/>
        <v>1</v>
      </c>
      <c r="AF41" s="16"/>
      <c r="AG41" s="16">
        <f t="shared" si="8"/>
        <v>1</v>
      </c>
      <c r="AH41" s="15">
        <f>IF($E41="","",IFERROR((Weights!$B$2*$O41 + Weights!$B$3*$AE41 + Weights!$B$4*$AD41 + Weights!$B$5*(1-$AC41) + Weights!$B$6*$AF41 + Weights!$B$7*$AG41)/SUM(Weights!$B$2:$B$7),"" ))</f>
        <v>0.8158227848</v>
      </c>
      <c r="AI41" s="15">
        <f>IF($E41="","",IF($O41=0,0,IFERROR($AH41/MAX(Weights!$B$8,$Y41)/MAX(Weights!$B$9,IF($Z41="",0,$Z41)), "")))</f>
        <v>0.5229633236</v>
      </c>
      <c r="AJ41" s="17"/>
    </row>
    <row r="42" ht="15.75" customHeight="1">
      <c r="A42" s="6">
        <v>1.74801042026E11</v>
      </c>
      <c r="B42" s="7">
        <v>46026.0</v>
      </c>
      <c r="C42" s="6" t="s">
        <v>268</v>
      </c>
      <c r="D42" s="8" t="s">
        <v>32</v>
      </c>
      <c r="E42" s="8" t="s">
        <v>31</v>
      </c>
      <c r="F42" s="9" t="str">
        <f>IF($E42="","",VLOOKUP($E42,Benchmark_URLs!$A$2:$L$46,4,FALSE))</f>
        <v>https://www.sec.gov/data-research/sec-markets-data/form-n-port-data-sets</v>
      </c>
      <c r="G42" s="10"/>
      <c r="H42" s="10" t="str">
        <f>IF($E42="","",VLOOKUP($E42,Benchmark_URLs!$A$2:$L$46,6,FALSE))</f>
        <v>html</v>
      </c>
      <c r="I42" s="10" t="str">
        <f>IF($E42="","",VLOOKUP($E42,Benchmark_URLs!$A$2:$L$46,7,FALSE))</f>
        <v>N</v>
      </c>
      <c r="J42" s="10" t="str">
        <f>IF($E42="","",VLOOKUP($E42,Benchmark_URLs!$A$2:$L$46,8,FALSE))</f>
        <v>Y</v>
      </c>
      <c r="K42" s="10" t="str">
        <f>IF($E42="","",VLOOKUP($E42,Benchmark_URLs!$A$2:$L$46,9,FALSE))</f>
        <v>N</v>
      </c>
      <c r="L42" s="10" t="str">
        <f>IF($E42="","",VLOOKUP($E42,Benchmark_URLs!$A$2:$L$46,10,FALSE))</f>
        <v>Y</v>
      </c>
      <c r="M42" s="10">
        <f>IF($E42="","",VLOOKUP($E42,Benchmark_URLs!$A$2:$L$46,11,FALSE))</f>
        <v>2000</v>
      </c>
      <c r="N42" s="11">
        <v>200.0</v>
      </c>
      <c r="O42" s="11">
        <v>1.0</v>
      </c>
      <c r="P42" s="11">
        <v>0.0</v>
      </c>
      <c r="Q42" s="12">
        <v>5600.0</v>
      </c>
      <c r="R42" s="12">
        <v>5600.0</v>
      </c>
      <c r="S42" s="12">
        <v>900.0</v>
      </c>
      <c r="T42" s="11">
        <v>1.0</v>
      </c>
      <c r="U42" s="11">
        <v>1.0</v>
      </c>
      <c r="V42" s="11">
        <v>0.0</v>
      </c>
      <c r="W42" s="12">
        <v>0.0</v>
      </c>
      <c r="X42" s="19"/>
      <c r="Y42" s="13">
        <v>1.36</v>
      </c>
      <c r="Z42" s="13">
        <v>1.0</v>
      </c>
      <c r="AA42" s="10"/>
      <c r="AB42" s="6" t="s">
        <v>274</v>
      </c>
      <c r="AC42" s="15">
        <f t="shared" si="7"/>
        <v>0.1607142857</v>
      </c>
      <c r="AD42" s="15">
        <f t="shared" si="1"/>
        <v>0.6666666667</v>
      </c>
      <c r="AE42" s="16">
        <f t="shared" si="2"/>
        <v>1</v>
      </c>
      <c r="AF42" s="16"/>
      <c r="AG42" s="16">
        <f t="shared" si="8"/>
        <v>1</v>
      </c>
      <c r="AH42" s="15">
        <f>IF($E42="","",IFERROR((Weights!$B$2*$O42 + Weights!$B$3*$AE42 + Weights!$B$4*$AD42 + Weights!$B$5*(1-$AC42) + Weights!$B$6*$AF42 + Weights!$B$7*$AG42)/SUM(Weights!$B$2:$B$7),"" ))</f>
        <v>0.8258928571</v>
      </c>
      <c r="AI42" s="15">
        <f>IF($E42="","",IF($O42=0,0,IFERROR($AH42/MAX(Weights!$B$8,$Y42)/MAX(Weights!$B$9,IF($Z42="",0,$Z42)), "")))</f>
        <v>0.6072741597</v>
      </c>
      <c r="AJ42" s="17"/>
    </row>
    <row r="43" ht="15.75" customHeight="1">
      <c r="A43" s="6">
        <v>1.81001042026E11</v>
      </c>
      <c r="B43" s="7">
        <v>46026.0</v>
      </c>
      <c r="C43" s="6" t="s">
        <v>268</v>
      </c>
      <c r="D43" s="8" t="s">
        <v>32</v>
      </c>
      <c r="E43" s="8" t="s">
        <v>66</v>
      </c>
      <c r="F43" s="9" t="str">
        <f>IF($E43="","",VLOOKUP($E43,Benchmark_URLs!$A$2:$L$46,4,FALSE))</f>
        <v>https://fred.stlouisfed.org/series/GDP</v>
      </c>
      <c r="G43" s="10"/>
      <c r="H43" s="10" t="str">
        <f>IF($E43="","",VLOOKUP($E43,Benchmark_URLs!$A$2:$L$46,6,FALSE))</f>
        <v>html</v>
      </c>
      <c r="I43" s="10" t="str">
        <f>IF($E43="","",VLOOKUP($E43,Benchmark_URLs!$A$2:$L$46,7,FALSE))</f>
        <v>Y</v>
      </c>
      <c r="J43" s="10" t="str">
        <f>IF($E43="","",VLOOKUP($E43,Benchmark_URLs!$A$2:$L$46,8,FALSE))</f>
        <v>Y</v>
      </c>
      <c r="K43" s="10" t="str">
        <f>IF($E43="","",VLOOKUP($E43,Benchmark_URLs!$A$2:$L$46,9,FALSE))</f>
        <v>N</v>
      </c>
      <c r="L43" s="10" t="str">
        <f>IF($E43="","",VLOOKUP($E43,Benchmark_URLs!$A$2:$L$46,10,FALSE))</f>
        <v>Y</v>
      </c>
      <c r="M43" s="10">
        <f>IF($E43="","",VLOOKUP($E43,Benchmark_URLs!$A$2:$L$46,11,FALSE))</f>
        <v>2500</v>
      </c>
      <c r="N43" s="11">
        <v>200.0</v>
      </c>
      <c r="O43" s="11">
        <v>1.0</v>
      </c>
      <c r="P43" s="11">
        <v>0.0</v>
      </c>
      <c r="Q43" s="12">
        <v>10200.0</v>
      </c>
      <c r="R43" s="12">
        <v>13450.0</v>
      </c>
      <c r="S43" s="12">
        <v>3250.0</v>
      </c>
      <c r="T43" s="11">
        <v>1.0</v>
      </c>
      <c r="U43" s="11">
        <v>1.0</v>
      </c>
      <c r="V43" s="11">
        <v>0.0</v>
      </c>
      <c r="W43" s="12">
        <v>34.0</v>
      </c>
      <c r="X43" s="19"/>
      <c r="Y43" s="31">
        <v>1.2</v>
      </c>
      <c r="Z43" s="13">
        <v>1.0</v>
      </c>
      <c r="AA43" s="10"/>
      <c r="AB43" s="6" t="s">
        <v>275</v>
      </c>
      <c r="AC43" s="15">
        <f t="shared" si="7"/>
        <v>0.2416356877</v>
      </c>
      <c r="AD43" s="15">
        <f t="shared" si="1"/>
        <v>0.6666666667</v>
      </c>
      <c r="AE43" s="16">
        <f t="shared" si="2"/>
        <v>1</v>
      </c>
      <c r="AF43" s="16"/>
      <c r="AG43" s="16"/>
      <c r="AH43" s="15">
        <f>IF($E43="","",IFERROR((Weights!$B$2*$O43 + Weights!$B$3*$AE43 + Weights!$B$4*$AD43 + Weights!$B$5*(1-$AC43) + Weights!$B$6*$AF43 + Weights!$B$7*$AG43)/SUM(Weights!$B$2:$B$7),"" ))</f>
        <v>0.7637546468</v>
      </c>
      <c r="AI43" s="15">
        <f>IF($E43="","",IF($O43=0,0,IFERROR($AH43/MAX(Weights!$B$8,$Y42)/MAX(Weights!$B$9,IF($Z43="",0,$Z43)), "")))</f>
        <v>0.5615842991</v>
      </c>
      <c r="AJ43" s="17"/>
    </row>
    <row r="44" ht="15.75" customHeight="1">
      <c r="A44" s="6">
        <v>1.81801042026E11</v>
      </c>
      <c r="B44" s="7">
        <v>46026.0</v>
      </c>
      <c r="C44" s="6" t="s">
        <v>268</v>
      </c>
      <c r="D44" s="8" t="s">
        <v>53</v>
      </c>
      <c r="E44" s="8" t="s">
        <v>52</v>
      </c>
      <c r="F44" s="9" t="str">
        <f>IF($E44="","",VLOOKUP($E44,Benchmark_URLs!$A$2:$L$46,4,FALSE))</f>
        <v>https://www.federalreserve.gov/newsevents/pressreleases.htm</v>
      </c>
      <c r="G44" s="10"/>
      <c r="H44" s="10" t="str">
        <f>IF($E44="","",VLOOKUP($E44,Benchmark_URLs!$A$2:$L$46,6,FALSE))</f>
        <v>html</v>
      </c>
      <c r="I44" s="10" t="str">
        <f>IF($E44="","",VLOOKUP($E44,Benchmark_URLs!$A$2:$L$46,7,FALSE))</f>
        <v>N</v>
      </c>
      <c r="J44" s="10" t="str">
        <f>IF($E44="","",VLOOKUP($E44,Benchmark_URLs!$A$2:$L$46,8,FALSE))</f>
        <v>N</v>
      </c>
      <c r="K44" s="10" t="str">
        <f>IF($E44="","",VLOOKUP($E44,Benchmark_URLs!$A$2:$L$46,9,FALSE))</f>
        <v>Y</v>
      </c>
      <c r="L44" s="10" t="str">
        <f>IF($E44="","",VLOOKUP($E44,Benchmark_URLs!$A$2:$L$46,10,FALSE))</f>
        <v>Y</v>
      </c>
      <c r="M44" s="10">
        <f>IF($E44="","",VLOOKUP($E44,Benchmark_URLs!$A$2:$L$46,11,FALSE))</f>
        <v>2000</v>
      </c>
      <c r="N44" s="11">
        <v>200.0</v>
      </c>
      <c r="O44" s="11">
        <v>1.0</v>
      </c>
      <c r="P44" s="11">
        <v>0.0</v>
      </c>
      <c r="Q44" s="12">
        <v>6200.0</v>
      </c>
      <c r="R44" s="12">
        <v>24500.0</v>
      </c>
      <c r="S44" s="12">
        <v>18300.0</v>
      </c>
      <c r="T44" s="11">
        <v>1.0</v>
      </c>
      <c r="U44" s="11">
        <v>1.0</v>
      </c>
      <c r="V44" s="11">
        <v>0.0</v>
      </c>
      <c r="W44" s="12">
        <v>180.0</v>
      </c>
      <c r="X44" s="19"/>
      <c r="Y44" s="13">
        <v>1.3</v>
      </c>
      <c r="Z44" s="13">
        <v>1.0</v>
      </c>
      <c r="AA44" s="10"/>
      <c r="AB44" s="6" t="s">
        <v>276</v>
      </c>
      <c r="AC44" s="15">
        <f t="shared" si="7"/>
        <v>0.7469387755</v>
      </c>
      <c r="AD44" s="15">
        <f t="shared" si="1"/>
        <v>0.6666666667</v>
      </c>
      <c r="AE44" s="16">
        <f t="shared" si="2"/>
        <v>1</v>
      </c>
      <c r="AF44" s="16"/>
      <c r="AG44" s="16"/>
      <c r="AH44" s="15">
        <f>IF($E44="","",IFERROR((Weights!$B$2*$O44 + Weights!$B$3*$AE44 + Weights!$B$4*$AD44 + Weights!$B$5*(1-$AC44) + Weights!$B$6*$AF44 + Weights!$B$7*$AG44)/SUM(Weights!$B$2:$B$7),"" ))</f>
        <v>0.6879591837</v>
      </c>
      <c r="AI44" s="15">
        <f>IF($E44="","",IF($O44=0,0,IFERROR($AH44/MAX(Weights!$B$8,$Y44)/MAX(Weights!$B$9,IF($Z44="",0,$Z44)), "")))</f>
        <v>0.5291993721</v>
      </c>
      <c r="AJ44" s="18" t="s">
        <v>277</v>
      </c>
    </row>
    <row r="45" ht="15.75" customHeight="1">
      <c r="A45" s="6">
        <v>1.82501042026E11</v>
      </c>
      <c r="B45" s="7">
        <v>46026.0</v>
      </c>
      <c r="C45" s="6" t="s">
        <v>268</v>
      </c>
      <c r="D45" s="8" t="s">
        <v>53</v>
      </c>
      <c r="E45" s="6" t="s">
        <v>57</v>
      </c>
      <c r="F45" s="9" t="str">
        <f>IF($E45="","",VLOOKUP($E45,Benchmark_URLs!$A$2:$L$46,4,FALSE))</f>
        <v>https://www.federalreserve.gov/newsevents/pressreleases/2025-press.htm</v>
      </c>
      <c r="G45" s="10"/>
      <c r="H45" s="10" t="str">
        <f>IF($E45="","",VLOOKUP($E45,Benchmark_URLs!$A$2:$L$46,6,FALSE))</f>
        <v>html</v>
      </c>
      <c r="I45" s="10" t="str">
        <f>IF($E45="","",VLOOKUP($E45,Benchmark_URLs!$A$2:$L$46,7,FALSE))</f>
        <v>N</v>
      </c>
      <c r="J45" s="10" t="str">
        <f>IF($E45="","",VLOOKUP($E45,Benchmark_URLs!$A$2:$L$46,8,FALSE))</f>
        <v>N</v>
      </c>
      <c r="K45" s="10" t="str">
        <f>IF($E45="","",VLOOKUP($E45,Benchmark_URLs!$A$2:$L$46,9,FALSE))</f>
        <v>Y</v>
      </c>
      <c r="L45" s="10" t="str">
        <f>IF($E45="","",VLOOKUP($E45,Benchmark_URLs!$A$2:$L$46,10,FALSE))</f>
        <v>Y</v>
      </c>
      <c r="M45" s="10">
        <f>IF($E45="","",VLOOKUP($E45,Benchmark_URLs!$A$2:$L$46,11,FALSE))</f>
        <v>2000</v>
      </c>
      <c r="N45" s="11">
        <v>200.0</v>
      </c>
      <c r="O45" s="11">
        <v>1.0</v>
      </c>
      <c r="P45" s="11">
        <v>0.0</v>
      </c>
      <c r="Q45" s="12">
        <v>21000.0</v>
      </c>
      <c r="R45" s="12">
        <v>62000.0</v>
      </c>
      <c r="S45" s="12">
        <v>41000.0</v>
      </c>
      <c r="T45" s="11">
        <v>1.0</v>
      </c>
      <c r="U45" s="11">
        <v>1.0</v>
      </c>
      <c r="V45" s="11">
        <v>0.0</v>
      </c>
      <c r="W45" s="12">
        <v>150.0</v>
      </c>
      <c r="X45" s="19"/>
      <c r="Y45" s="13">
        <v>1.02</v>
      </c>
      <c r="Z45" s="13">
        <v>1.0</v>
      </c>
      <c r="AA45" s="10"/>
      <c r="AB45" s="6" t="s">
        <v>278</v>
      </c>
      <c r="AC45" s="15">
        <f t="shared" si="7"/>
        <v>0.6612903226</v>
      </c>
      <c r="AD45" s="15">
        <f t="shared" si="1"/>
        <v>0.6666666667</v>
      </c>
      <c r="AE45" s="16">
        <f t="shared" si="2"/>
        <v>1</v>
      </c>
      <c r="AF45" s="16"/>
      <c r="AG45" s="16"/>
      <c r="AH45" s="15">
        <f>IF($E45="","",IFERROR((Weights!$B$2*$O45 + Weights!$B$3*$AE45 + Weights!$B$4*$AD45 + Weights!$B$5*(1-$AC45) + Weights!$B$6*$AF45 + Weights!$B$7*$AG45)/SUM(Weights!$B$2:$B$7),"" ))</f>
        <v>0.7008064516</v>
      </c>
      <c r="AI45" s="15">
        <f>IF($E45="","",IF($O45=0,0,IFERROR($AH45/MAX(Weights!$B$8,$Y45)/MAX(Weights!$B$9,IF($Z45="",0,$Z45)), "")))</f>
        <v>0.6870651486</v>
      </c>
      <c r="AJ45" s="18" t="s">
        <v>279</v>
      </c>
    </row>
    <row r="46" ht="15.75" customHeight="1">
      <c r="A46" s="6">
        <v>1.82901042026E11</v>
      </c>
      <c r="B46" s="7">
        <v>46026.0</v>
      </c>
      <c r="C46" s="6" t="s">
        <v>268</v>
      </c>
      <c r="D46" s="8" t="s">
        <v>85</v>
      </c>
      <c r="E46" s="6" t="s">
        <v>84</v>
      </c>
      <c r="F46" s="9" t="str">
        <f>IF($E46="","",VLOOKUP($E46,Benchmark_URLs!$A$2:$L$46,4,FALSE))</f>
        <v>https://react.dev/learn</v>
      </c>
      <c r="G46" s="10"/>
      <c r="H46" s="10" t="str">
        <f>IF($E46="","",VLOOKUP($E46,Benchmark_URLs!$A$2:$L$46,6,FALSE))</f>
        <v>html</v>
      </c>
      <c r="I46" s="10" t="str">
        <f>IF($E46="","",VLOOKUP($E46,Benchmark_URLs!$A$2:$L$46,7,FALSE))</f>
        <v>Y</v>
      </c>
      <c r="J46" s="10" t="str">
        <f>IF($E46="","",VLOOKUP($E46,Benchmark_URLs!$A$2:$L$46,8,FALSE))</f>
        <v>N</v>
      </c>
      <c r="K46" s="10" t="str">
        <f>IF($E46="","",VLOOKUP($E46,Benchmark_URLs!$A$2:$L$46,9,FALSE))</f>
        <v>N</v>
      </c>
      <c r="L46" s="10" t="str">
        <f>IF($E46="","",VLOOKUP($E46,Benchmark_URLs!$A$2:$L$46,10,FALSE))</f>
        <v>Y</v>
      </c>
      <c r="M46" s="10">
        <f>IF($E46="","",VLOOKUP($E46,Benchmark_URLs!$A$2:$L$46,11,FALSE))</f>
        <v>3000</v>
      </c>
      <c r="N46" s="11">
        <v>200.0</v>
      </c>
      <c r="O46" s="11">
        <v>1.0</v>
      </c>
      <c r="P46" s="11">
        <v>0.0</v>
      </c>
      <c r="Q46" s="12">
        <v>18500.0</v>
      </c>
      <c r="R46" s="12">
        <v>23500.0</v>
      </c>
      <c r="S46" s="12">
        <v>5000.0</v>
      </c>
      <c r="T46" s="11">
        <v>1.0</v>
      </c>
      <c r="U46" s="11">
        <v>0.0</v>
      </c>
      <c r="V46" s="11">
        <v>0.0</v>
      </c>
      <c r="W46" s="12">
        <v>12.0</v>
      </c>
      <c r="X46" s="19"/>
      <c r="Y46" s="13">
        <v>1.09</v>
      </c>
      <c r="Z46" s="13">
        <v>1.0</v>
      </c>
      <c r="AA46" s="10"/>
      <c r="AB46" s="6" t="s">
        <v>280</v>
      </c>
      <c r="AC46" s="15">
        <f t="shared" si="7"/>
        <v>0.2127659574</v>
      </c>
      <c r="AD46" s="15">
        <f t="shared" si="1"/>
        <v>0.3333333333</v>
      </c>
      <c r="AE46" s="11">
        <v>1.0</v>
      </c>
      <c r="AF46" s="11"/>
      <c r="AG46" s="11"/>
      <c r="AH46" s="15">
        <f>IF($E46="","",IFERROR((Weights!$B$2*$O46 + Weights!$B$3*$AE46 + Weights!$B$4*$AD46 + Weights!$B$5*(1-$AC46) + Weights!$B$6*$AF46 + Weights!$B$7*$AG46)/SUM(Weights!$B$2:$B$7),"" ))</f>
        <v>0.7180851064</v>
      </c>
      <c r="AI46" s="15">
        <f>IF($E46="","",IF($O46=0,0,IFERROR($AH46/MAX(Weights!$B$8,$Y46)/MAX(Weights!$B$9,IF($Z46="",0,$Z46)), "")))</f>
        <v>0.6587936756</v>
      </c>
      <c r="AJ46" s="17"/>
    </row>
    <row r="47" ht="15.75" customHeight="1">
      <c r="A47" s="6">
        <v>1.84201042026E11</v>
      </c>
      <c r="B47" s="7">
        <v>46026.0</v>
      </c>
      <c r="C47" s="6" t="s">
        <v>268</v>
      </c>
      <c r="D47" s="8" t="s">
        <v>85</v>
      </c>
      <c r="E47" s="6" t="s">
        <v>90</v>
      </c>
      <c r="F47" s="9" t="str">
        <f>IF($E47="","",VLOOKUP($E47,Benchmark_URLs!$A$2:$L$46,4,FALSE))</f>
        <v>https://nextjs.org/docs</v>
      </c>
      <c r="G47" s="10"/>
      <c r="H47" s="10" t="str">
        <f>IF($E47="","",VLOOKUP($E47,Benchmark_URLs!$A$2:$L$46,6,FALSE))</f>
        <v>html</v>
      </c>
      <c r="I47" s="10" t="str">
        <f>IF($E47="","",VLOOKUP($E47,Benchmark_URLs!$A$2:$L$46,7,FALSE))</f>
        <v>Y</v>
      </c>
      <c r="J47" s="10" t="str">
        <f>IF($E47="","",VLOOKUP($E47,Benchmark_URLs!$A$2:$L$46,8,FALSE))</f>
        <v>N</v>
      </c>
      <c r="K47" s="10" t="str">
        <f>IF($E47="","",VLOOKUP($E47,Benchmark_URLs!$A$2:$L$46,9,FALSE))</f>
        <v>N</v>
      </c>
      <c r="L47" s="10" t="str">
        <f>IF($E47="","",VLOOKUP($E47,Benchmark_URLs!$A$2:$L$46,10,FALSE))</f>
        <v>Y</v>
      </c>
      <c r="M47" s="10">
        <f>IF($E47="","",VLOOKUP($E47,Benchmark_URLs!$A$2:$L$46,11,FALSE))</f>
        <v>3000</v>
      </c>
      <c r="N47" s="11">
        <v>200.0</v>
      </c>
      <c r="O47" s="11">
        <v>1.0</v>
      </c>
      <c r="P47" s="11">
        <v>0.0</v>
      </c>
      <c r="Q47" s="12">
        <v>5200.0</v>
      </c>
      <c r="R47" s="12">
        <v>10800.0</v>
      </c>
      <c r="S47" s="12">
        <v>5600.0</v>
      </c>
      <c r="T47" s="11">
        <v>1.0</v>
      </c>
      <c r="U47" s="11">
        <v>0.0</v>
      </c>
      <c r="V47" s="11">
        <v>0.0</v>
      </c>
      <c r="W47" s="12">
        <v>22.0</v>
      </c>
      <c r="X47" s="19"/>
      <c r="Y47" s="13">
        <v>1.17</v>
      </c>
      <c r="Z47" s="13">
        <v>1.0</v>
      </c>
      <c r="AA47" s="10"/>
      <c r="AB47" s="6" t="s">
        <v>281</v>
      </c>
      <c r="AC47" s="15">
        <f t="shared" si="7"/>
        <v>0.5185185185</v>
      </c>
      <c r="AD47" s="15">
        <f t="shared" si="1"/>
        <v>0.3333333333</v>
      </c>
      <c r="AE47" s="16">
        <f>IF($E47="","",IFERROR(IF($Q47&gt;=$M47,1,0),0))</f>
        <v>1</v>
      </c>
      <c r="AF47" s="16"/>
      <c r="AG47" s="16"/>
      <c r="AH47" s="15">
        <f>IF($E47="","",IFERROR((Weights!$B$2*$O47 + Weights!$B$3*$AE47 + Weights!$B$4*$AD47 + Weights!$B$5*(1-$AC47) + Weights!$B$6*$AF47 + Weights!$B$7*$AG47)/SUM(Weights!$B$2:$B$7),"" ))</f>
        <v>0.6722222222</v>
      </c>
      <c r="AI47" s="15">
        <f>IF($E47="","",IF($O47=0,0,IFERROR($AH47/MAX(Weights!$B$8,$Y47)/MAX(Weights!$B$9,IF($Z47="",0,$Z47)), "")))</f>
        <v>0.5745489079</v>
      </c>
      <c r="AJ47" s="17"/>
    </row>
    <row r="48" ht="15.75" customHeight="1">
      <c r="A48" s="6">
        <v>1.84201042026E11</v>
      </c>
      <c r="B48" s="7">
        <v>46026.0</v>
      </c>
      <c r="C48" s="6" t="s">
        <v>268</v>
      </c>
      <c r="D48" s="8" t="s">
        <v>85</v>
      </c>
      <c r="E48" s="6" t="s">
        <v>94</v>
      </c>
      <c r="F48" s="9" t="str">
        <f>IF($E48="","",VLOOKUP($E48,Benchmark_URLs!$A$2:$L$46,4,FALSE))</f>
        <v>https://learn.microsoft.com/en-us/azure/architecture/</v>
      </c>
      <c r="G48" s="10"/>
      <c r="H48" s="10" t="str">
        <f>IF($E48="","",VLOOKUP($E48,Benchmark_URLs!$A$2:$L$46,6,FALSE))</f>
        <v>html</v>
      </c>
      <c r="I48" s="10" t="str">
        <f>IF($E48="","",VLOOKUP($E48,Benchmark_URLs!$A$2:$L$46,7,FALSE))</f>
        <v>Y</v>
      </c>
      <c r="J48" s="10" t="str">
        <f>IF($E48="","",VLOOKUP($E48,Benchmark_URLs!$A$2:$L$46,8,FALSE))</f>
        <v>N</v>
      </c>
      <c r="K48" s="10" t="str">
        <f>IF($E48="","",VLOOKUP($E48,Benchmark_URLs!$A$2:$L$46,9,FALSE))</f>
        <v>N</v>
      </c>
      <c r="L48" s="10" t="str">
        <f>IF($E48="","",VLOOKUP($E48,Benchmark_URLs!$A$2:$L$46,10,FALSE))</f>
        <v>Y</v>
      </c>
      <c r="M48" s="10">
        <f>IF($E48="","",VLOOKUP($E48,Benchmark_URLs!$A$2:$L$46,11,FALSE))</f>
        <v>3000</v>
      </c>
      <c r="N48" s="11">
        <v>200.0</v>
      </c>
      <c r="O48" s="11">
        <v>1.0</v>
      </c>
      <c r="P48" s="11">
        <v>0.0</v>
      </c>
      <c r="Q48" s="12">
        <v>1907.0</v>
      </c>
      <c r="R48" s="12">
        <v>3820.0</v>
      </c>
      <c r="S48" s="12">
        <v>1913.0</v>
      </c>
      <c r="T48" s="11">
        <v>1.0</v>
      </c>
      <c r="U48" s="11">
        <v>1.0</v>
      </c>
      <c r="V48" s="11">
        <v>0.0</v>
      </c>
      <c r="W48" s="12">
        <v>13.0</v>
      </c>
      <c r="X48" s="19"/>
      <c r="Y48" s="13">
        <v>1.78</v>
      </c>
      <c r="Z48" s="13">
        <v>1.0</v>
      </c>
      <c r="AA48" s="10"/>
      <c r="AB48" s="6" t="s">
        <v>282</v>
      </c>
      <c r="AC48" s="15">
        <f t="shared" si="7"/>
        <v>0.5007853403</v>
      </c>
      <c r="AD48" s="15">
        <f t="shared" si="1"/>
        <v>0.6666666667</v>
      </c>
      <c r="AE48" s="11">
        <v>1.0</v>
      </c>
      <c r="AF48" s="16"/>
      <c r="AG48" s="16"/>
      <c r="AH48" s="15">
        <f>IF($E48="","",IFERROR((Weights!$B$2*$O48 + Weights!$B$3*$AE48 + Weights!$B$4*$AD48 + Weights!$B$5*(1-$AC48) + Weights!$B$6*$AF48 + Weights!$B$7*$AG48)/SUM(Weights!$B$2:$B$7),"" ))</f>
        <v>0.724882199</v>
      </c>
      <c r="AI48" s="15">
        <f>IF($E48="","",IF($O48=0,0,IFERROR($AH48/MAX(Weights!$B$8,$Y48)/MAX(Weights!$B$9,IF($Z48="",0,$Z48)), "")))</f>
        <v>0.4072371904</v>
      </c>
      <c r="AJ48" s="17"/>
    </row>
    <row r="49" ht="15.75" customHeight="1">
      <c r="A49" s="6">
        <v>1.90501042026E11</v>
      </c>
      <c r="B49" s="7">
        <v>46026.0</v>
      </c>
      <c r="C49" s="6" t="s">
        <v>268</v>
      </c>
      <c r="D49" s="6" t="s">
        <v>121</v>
      </c>
      <c r="E49" s="6" t="s">
        <v>120</v>
      </c>
      <c r="F49" s="9" t="str">
        <f>IF($E49="","",VLOOKUP($E49,Benchmark_URLs!$A$2:$L$46,4,FALSE))</f>
        <v>https://www.federalreserve.gov/supervisionreg/srletters/sr1107.pdf</v>
      </c>
      <c r="G49" s="10"/>
      <c r="H49" s="10" t="str">
        <f>IF($E49="","",VLOOKUP($E49,Benchmark_URLs!$A$2:$L$46,6,FALSE))</f>
        <v>pdf</v>
      </c>
      <c r="I49" s="10" t="str">
        <f>IF($E49="","",VLOOKUP($E49,Benchmark_URLs!$A$2:$L$46,7,FALSE))</f>
        <v>N</v>
      </c>
      <c r="J49" s="10" t="str">
        <f>IF($E49="","",VLOOKUP($E49,Benchmark_URLs!$A$2:$L$46,8,FALSE))</f>
        <v>N</v>
      </c>
      <c r="K49" s="10" t="str">
        <f>IF($E49="","",VLOOKUP($E49,Benchmark_URLs!$A$2:$L$46,9,FALSE))</f>
        <v>N</v>
      </c>
      <c r="L49" s="10" t="str">
        <f>IF($E49="","",VLOOKUP($E49,Benchmark_URLs!$A$2:$L$46,10,FALSE))</f>
        <v>Y</v>
      </c>
      <c r="M49" s="10">
        <f>IF($E49="","",VLOOKUP($E49,Benchmark_URLs!$A$2:$L$46,11,FALSE))</f>
        <v>8000</v>
      </c>
      <c r="N49" s="11">
        <v>200.0</v>
      </c>
      <c r="O49" s="11">
        <v>1.0</v>
      </c>
      <c r="P49" s="11">
        <v>0.0</v>
      </c>
      <c r="Q49" s="12">
        <v>14550.0</v>
      </c>
      <c r="R49" s="12">
        <v>14550.0</v>
      </c>
      <c r="S49" s="12">
        <v>0.0</v>
      </c>
      <c r="T49" s="11">
        <v>1.0</v>
      </c>
      <c r="U49" s="11">
        <v>1.0</v>
      </c>
      <c r="V49" s="11">
        <v>1.0</v>
      </c>
      <c r="W49" s="12">
        <v>1.0</v>
      </c>
      <c r="X49" s="12">
        <v>5.0</v>
      </c>
      <c r="Y49" s="13">
        <v>1.89</v>
      </c>
      <c r="Z49" s="13">
        <v>1.0</v>
      </c>
      <c r="AA49" s="10"/>
      <c r="AB49" s="6" t="s">
        <v>283</v>
      </c>
      <c r="AC49" s="15">
        <f t="shared" si="7"/>
        <v>0</v>
      </c>
      <c r="AD49" s="15">
        <f t="shared" si="1"/>
        <v>1</v>
      </c>
      <c r="AE49" s="16">
        <f t="shared" ref="AE49:AE50" si="9">IF($E49="","",IFERROR(IF($Q49&gt;=$M49,1,0),0))</f>
        <v>1</v>
      </c>
      <c r="AF49" s="16">
        <f>IF($E49="","",IF($H49="pdf",IFERROR(IF($X49&gt;=Weights!$B$10,1,0),0),1))</f>
        <v>1</v>
      </c>
      <c r="AG49" s="16"/>
      <c r="AH49" s="15">
        <f>IF($E49="","",IFERROR((Weights!$B$2*$O49 + Weights!$B$3*$AE49 + Weights!$B$4*$AD49 + Weights!$B$5*(1-$AC49) + Weights!$B$6*$AF49 + Weights!$B$7*$AG49)/SUM(Weights!$B$2:$B$7),"" ))</f>
        <v>0.95</v>
      </c>
      <c r="AI49" s="15">
        <f>IF($E49="","",IF($O49=0,0,IFERROR($AH49/MAX(Weights!$B$8,$Y49)/MAX(Weights!$B$9,IF($Z49="",0,$Z49)), "")))</f>
        <v>0.5026455026</v>
      </c>
      <c r="AJ49" s="18" t="s">
        <v>284</v>
      </c>
    </row>
    <row r="50" ht="15.75" customHeight="1">
      <c r="A50" s="6">
        <v>2.10001042026E11</v>
      </c>
      <c r="B50" s="7">
        <v>46026.0</v>
      </c>
      <c r="C50" s="6" t="s">
        <v>268</v>
      </c>
      <c r="D50" s="6" t="s">
        <v>121</v>
      </c>
      <c r="E50" s="6" t="s">
        <v>126</v>
      </c>
      <c r="F50" s="9" t="str">
        <f>IF($E50="","",VLOOKUP($E50,Benchmark_URLs!$A$2:$L$46,4,FALSE))</f>
        <v>https://www.fdic.gov/resources/supervision-and-examinations/examination-policies-manual/risk-management-manual-complete.pdf</v>
      </c>
      <c r="G50" s="10"/>
      <c r="H50" s="10" t="str">
        <f>IF($E50="","",VLOOKUP($E50,Benchmark_URLs!$A$2:$L$46,6,FALSE))</f>
        <v>pdf</v>
      </c>
      <c r="I50" s="10" t="str">
        <f>IF($E50="","",VLOOKUP($E50,Benchmark_URLs!$A$2:$L$46,7,FALSE))</f>
        <v>N</v>
      </c>
      <c r="J50" s="10" t="str">
        <f>IF($E50="","",VLOOKUP($E50,Benchmark_URLs!$A$2:$L$46,8,FALSE))</f>
        <v>N</v>
      </c>
      <c r="K50" s="10" t="str">
        <f>IF($E50="","",VLOOKUP($E50,Benchmark_URLs!$A$2:$L$46,9,FALSE))</f>
        <v>N</v>
      </c>
      <c r="L50" s="10" t="str">
        <f>IF($E50="","",VLOOKUP($E50,Benchmark_URLs!$A$2:$L$46,10,FALSE))</f>
        <v>Y</v>
      </c>
      <c r="M50" s="10">
        <f>IF($E50="","",VLOOKUP($E50,Benchmark_URLs!$A$2:$L$46,11,FALSE))</f>
        <v>15000</v>
      </c>
      <c r="N50" s="11">
        <v>200.0</v>
      </c>
      <c r="O50" s="11">
        <v>1.0</v>
      </c>
      <c r="P50" s="11">
        <v>0.0</v>
      </c>
      <c r="Q50" s="12">
        <v>3544184.0</v>
      </c>
      <c r="R50" s="12">
        <v>3544184.0</v>
      </c>
      <c r="S50" s="12">
        <v>0.0</v>
      </c>
      <c r="T50" s="11">
        <v>1.0</v>
      </c>
      <c r="U50" s="11">
        <v>1.0</v>
      </c>
      <c r="V50" s="11">
        <v>0.0</v>
      </c>
      <c r="W50" s="12">
        <v>16.0</v>
      </c>
      <c r="X50" s="19"/>
      <c r="Y50" s="13">
        <v>37.89</v>
      </c>
      <c r="Z50" s="13">
        <v>1.0</v>
      </c>
      <c r="AA50" s="10"/>
      <c r="AB50" s="6" t="s">
        <v>285</v>
      </c>
      <c r="AC50" s="15">
        <f t="shared" si="7"/>
        <v>0</v>
      </c>
      <c r="AD50" s="15">
        <f t="shared" si="1"/>
        <v>0.6666666667</v>
      </c>
      <c r="AE50" s="16">
        <f t="shared" si="9"/>
        <v>1</v>
      </c>
      <c r="AF50" s="11">
        <v>1.0</v>
      </c>
      <c r="AG50" s="11"/>
      <c r="AH50" s="15">
        <f>IF($E50="","",IFERROR((Weights!$B$2*$O50 + Weights!$B$3*$AE50 + Weights!$B$4*$AD50 + Weights!$B$5*(1-$AC50) + Weights!$B$6*$AF50 + Weights!$B$7*$AG50)/SUM(Weights!$B$2:$B$7),"" ))</f>
        <v>0.9</v>
      </c>
      <c r="AI50" s="15">
        <f>IF($E50="","",IF($O50=0,0,IFERROR($AH50/MAX(Weights!$B$8,$Y50)/MAX(Weights!$B$9,IF($Z50="",0,$Z50)), "")))</f>
        <v>0.02375296912</v>
      </c>
      <c r="AJ50" s="18" t="s">
        <v>286</v>
      </c>
    </row>
    <row r="51" ht="15.75" customHeight="1">
      <c r="A51" s="6">
        <v>2.10901042026E11</v>
      </c>
      <c r="B51" s="7">
        <v>46026.0</v>
      </c>
      <c r="C51" s="6" t="s">
        <v>268</v>
      </c>
      <c r="D51" s="2" t="s">
        <v>162</v>
      </c>
      <c r="E51" s="6" t="s">
        <v>161</v>
      </c>
      <c r="F51" s="9" t="str">
        <f>IF($E51="","",VLOOKUP($E51,Benchmark_URLs!$A$2:$L$46,4,FALSE))</f>
        <v>http://www.sec.gov</v>
      </c>
      <c r="G51" s="10"/>
      <c r="H51" s="10" t="str">
        <f>IF($E51="","",VLOOKUP($E51,Benchmark_URLs!$A$2:$L$46,6,FALSE))</f>
        <v>html</v>
      </c>
      <c r="I51" s="10" t="str">
        <f>IF($E51="","",VLOOKUP($E51,Benchmark_URLs!$A$2:$L$46,7,FALSE))</f>
        <v>N</v>
      </c>
      <c r="J51" s="10" t="str">
        <f>IF($E51="","",VLOOKUP($E51,Benchmark_URLs!$A$2:$L$46,8,FALSE))</f>
        <v>N</v>
      </c>
      <c r="K51" s="10" t="str">
        <f>IF($E51="","",VLOOKUP($E51,Benchmark_URLs!$A$2:$L$46,9,FALSE))</f>
        <v>N</v>
      </c>
      <c r="L51" s="10" t="str">
        <f>IF($E51="","",VLOOKUP($E51,Benchmark_URLs!$A$2:$L$46,10,FALSE))</f>
        <v>Y</v>
      </c>
      <c r="M51" s="10">
        <f>IF($E51="","",VLOOKUP($E51,Benchmark_URLs!$A$2:$L$46,11,FALSE))</f>
        <v>500</v>
      </c>
      <c r="N51" s="11">
        <v>200.0</v>
      </c>
      <c r="O51" s="11">
        <v>1.0</v>
      </c>
      <c r="P51" s="11">
        <v>0.0</v>
      </c>
      <c r="Q51" s="12">
        <v>3564.0</v>
      </c>
      <c r="R51" s="12">
        <v>4039.0</v>
      </c>
      <c r="S51" s="12">
        <v>475.0</v>
      </c>
      <c r="T51" s="11">
        <v>1.0</v>
      </c>
      <c r="U51" s="11">
        <v>0.0</v>
      </c>
      <c r="V51" s="11">
        <v>0.0</v>
      </c>
      <c r="W51" s="12">
        <v>26.0</v>
      </c>
      <c r="X51" s="19"/>
      <c r="Y51" s="13">
        <v>1.56</v>
      </c>
      <c r="Z51" s="13">
        <v>1.0</v>
      </c>
      <c r="AA51" s="10"/>
      <c r="AB51" s="6" t="s">
        <v>287</v>
      </c>
      <c r="AC51" s="15">
        <f t="shared" si="7"/>
        <v>0.1176033672</v>
      </c>
      <c r="AD51" s="15">
        <f t="shared" si="1"/>
        <v>0.3333333333</v>
      </c>
      <c r="AE51" s="11">
        <v>1.0</v>
      </c>
      <c r="AF51" s="16"/>
      <c r="AG51" s="11"/>
      <c r="AH51" s="15">
        <f>IF($E51="","",IFERROR((Weights!$B$2*$O51 + Weights!$B$3*$AE51 + Weights!$B$4*$AD51 + Weights!$B$5*(1-$AC51) + Weights!$B$6*$AF51 + Weights!$B$7*$AG51)/SUM(Weights!$B$2:$B$7),"" ))</f>
        <v>0.7323594949</v>
      </c>
      <c r="AI51" s="15">
        <f>IF($E51="","",IF($O51=0,0,IFERROR($AH51/MAX(Weights!$B$8,$Y51)/MAX(Weights!$B$9,IF($Z51="",0,$Z51)), "")))</f>
        <v>0.4694612147</v>
      </c>
      <c r="AJ51" s="18" t="s">
        <v>288</v>
      </c>
    </row>
    <row r="52" ht="15.75" customHeight="1">
      <c r="A52" s="6">
        <v>2.11401042026E11</v>
      </c>
      <c r="B52" s="7">
        <v>46026.0</v>
      </c>
      <c r="C52" s="6" t="s">
        <v>268</v>
      </c>
      <c r="D52" s="2" t="s">
        <v>162</v>
      </c>
      <c r="E52" s="6" t="s">
        <v>166</v>
      </c>
      <c r="F52" s="9" t="str">
        <f>IF($E52="","",VLOOKUP($E52,Benchmark_URLs!$A$2:$L$46,4,FALSE))</f>
        <v>http://www.fdic.gov</v>
      </c>
      <c r="G52" s="10"/>
      <c r="H52" s="10" t="str">
        <f>IF($E52="","",VLOOKUP($E52,Benchmark_URLs!$A$2:$L$46,6,FALSE))</f>
        <v>html</v>
      </c>
      <c r="I52" s="10" t="str">
        <f>IF($E52="","",VLOOKUP($E52,Benchmark_URLs!$A$2:$L$46,7,FALSE))</f>
        <v>N</v>
      </c>
      <c r="J52" s="10" t="str">
        <f>IF($E52="","",VLOOKUP($E52,Benchmark_URLs!$A$2:$L$46,8,FALSE))</f>
        <v>N</v>
      </c>
      <c r="K52" s="10" t="str">
        <f>IF($E52="","",VLOOKUP($E52,Benchmark_URLs!$A$2:$L$46,9,FALSE))</f>
        <v>N</v>
      </c>
      <c r="L52" s="10" t="str">
        <f>IF($E52="","",VLOOKUP($E52,Benchmark_URLs!$A$2:$L$46,10,FALSE))</f>
        <v>Y</v>
      </c>
      <c r="M52" s="10">
        <f>IF($E52="","",VLOOKUP($E52,Benchmark_URLs!$A$2:$L$46,11,FALSE))</f>
        <v>500</v>
      </c>
      <c r="N52" s="11">
        <v>200.0</v>
      </c>
      <c r="O52" s="11">
        <v>1.0</v>
      </c>
      <c r="P52" s="11">
        <v>0.0</v>
      </c>
      <c r="Q52" s="12">
        <v>17316.0</v>
      </c>
      <c r="R52" s="12">
        <v>17316.0</v>
      </c>
      <c r="S52" s="19"/>
      <c r="T52" s="11">
        <v>1.0</v>
      </c>
      <c r="U52" s="11">
        <v>1.0</v>
      </c>
      <c r="V52" s="11">
        <v>0.0</v>
      </c>
      <c r="W52" s="12">
        <v>13.0</v>
      </c>
      <c r="X52" s="19"/>
      <c r="Y52" s="13">
        <v>1.67</v>
      </c>
      <c r="Z52" s="13">
        <v>1.0</v>
      </c>
      <c r="AA52" s="10"/>
      <c r="AB52" s="6" t="s">
        <v>289</v>
      </c>
      <c r="AC52" s="15">
        <f t="shared" si="7"/>
        <v>0</v>
      </c>
      <c r="AD52" s="15">
        <f t="shared" si="1"/>
        <v>0.6666666667</v>
      </c>
      <c r="AE52" s="16">
        <f t="shared" ref="AE52:AE53" si="10">IF($E52="","",IFERROR(IF($Q52&gt;=$M52,1,0),0))</f>
        <v>1</v>
      </c>
      <c r="AF52" s="16"/>
      <c r="AG52" s="16"/>
      <c r="AH52" s="15">
        <f>IF($E52="","",IFERROR((Weights!$B$2*$O52 + Weights!$B$3*$AE52 + Weights!$B$4*$AD52 + Weights!$B$5*(1-$AC52) + Weights!$B$6*$AF52 + Weights!$B$7*$AG52)/SUM(Weights!$B$2:$B$7),"" ))</f>
        <v>0.8</v>
      </c>
      <c r="AI52" s="15">
        <f>IF($E52="","",IF($O52=0,0,IFERROR($AH52/MAX(Weights!$B$8,$Y52)/MAX(Weights!$B$9,IF($Z52="",0,$Z52)), "")))</f>
        <v>0.4790419162</v>
      </c>
      <c r="AJ52" s="17"/>
    </row>
    <row r="53" ht="15.75" customHeight="1">
      <c r="A53" s="6">
        <v>2.12601042026E11</v>
      </c>
      <c r="B53" s="7">
        <v>46026.0</v>
      </c>
      <c r="C53" s="6" t="s">
        <v>268</v>
      </c>
      <c r="D53" s="6" t="s">
        <v>174</v>
      </c>
      <c r="E53" s="6" t="s">
        <v>173</v>
      </c>
      <c r="F53" s="9" t="str">
        <f>IF($E53="","",VLOOKUP($E53,Benchmark_URLs!$A$2:$L$46,4,FALSE))</f>
        <v>https://www.bcg.com/capabilities/digital-technology-data/insights</v>
      </c>
      <c r="G53" s="10"/>
      <c r="H53" s="10" t="str">
        <f>IF($E53="","",VLOOKUP($E53,Benchmark_URLs!$A$2:$L$46,6,FALSE))</f>
        <v>html</v>
      </c>
      <c r="I53" s="10" t="str">
        <f>IF($E53="","",VLOOKUP($E53,Benchmark_URLs!$A$2:$L$46,7,FALSE))</f>
        <v>Y</v>
      </c>
      <c r="J53" s="10" t="str">
        <f>IF($E53="","",VLOOKUP($E53,Benchmark_URLs!$A$2:$L$46,8,FALSE))</f>
        <v>N</v>
      </c>
      <c r="K53" s="10" t="str">
        <f>IF($E53="","",VLOOKUP($E53,Benchmark_URLs!$A$2:$L$46,9,FALSE))</f>
        <v>Y</v>
      </c>
      <c r="L53" s="10" t="str">
        <f>IF($E53="","",VLOOKUP($E53,Benchmark_URLs!$A$2:$L$46,10,FALSE))</f>
        <v>Y</v>
      </c>
      <c r="M53" s="10">
        <f>IF($E53="","",VLOOKUP($E53,Benchmark_URLs!$A$2:$L$46,11,FALSE))</f>
        <v>2500</v>
      </c>
      <c r="N53" s="11">
        <v>200.0</v>
      </c>
      <c r="O53" s="11">
        <v>1.0</v>
      </c>
      <c r="P53" s="11">
        <v>0.0</v>
      </c>
      <c r="Q53" s="12">
        <v>4000.0</v>
      </c>
      <c r="R53" s="12">
        <v>14000.0</v>
      </c>
      <c r="S53" s="19"/>
      <c r="T53" s="11">
        <v>1.0</v>
      </c>
      <c r="U53" s="11">
        <v>1.0</v>
      </c>
      <c r="V53" s="11">
        <v>0.0</v>
      </c>
      <c r="W53" s="19"/>
      <c r="X53" s="19"/>
      <c r="Y53" s="13">
        <v>4.58</v>
      </c>
      <c r="Z53" s="13">
        <v>1.0</v>
      </c>
      <c r="AA53" s="10"/>
      <c r="AB53" s="10"/>
      <c r="AC53" s="15">
        <f t="shared" si="7"/>
        <v>0</v>
      </c>
      <c r="AD53" s="15">
        <f t="shared" si="1"/>
        <v>0.6666666667</v>
      </c>
      <c r="AE53" s="16">
        <f t="shared" si="10"/>
        <v>1</v>
      </c>
      <c r="AF53" s="11"/>
      <c r="AG53" s="11">
        <v>0.0</v>
      </c>
      <c r="AH53" s="15">
        <f>IF($E53="","",IFERROR((Weights!$B$2*$O53 + Weights!$B$3*$AE53 + Weights!$B$4*$AD53 + Weights!$B$5*(1-$AC53) + Weights!$B$6*$AF53 + Weights!$B$7*$AG53)/SUM(Weights!$B$2:$B$7),"" ))</f>
        <v>0.8</v>
      </c>
      <c r="AI53" s="15">
        <f>IF($E53="","",IF($O53=0,0,IFERROR($AH53/MAX(Weights!$B$8,$Y53)/MAX(Weights!$B$9,IF($Z53="",0,$Z53)), "")))</f>
        <v>0.1746724891</v>
      </c>
      <c r="AJ53" s="17"/>
    </row>
    <row r="54" ht="15.75" customHeight="1">
      <c r="A54" s="6">
        <v>2.13001042026E11</v>
      </c>
      <c r="B54" s="7">
        <v>46026.0</v>
      </c>
      <c r="C54" s="6" t="s">
        <v>268</v>
      </c>
      <c r="D54" s="6" t="s">
        <v>174</v>
      </c>
      <c r="E54" s="6" t="s">
        <v>179</v>
      </c>
      <c r="F54" s="9" t="str">
        <f>IF($E54="","",VLOOKUP($E54,Benchmark_URLs!$A$2:$L$46,4,FALSE))</f>
        <v>https://www.mckinsey.com/featured-insights/mckinsey-explainers/what-is-digital-transformation</v>
      </c>
      <c r="G54" s="10"/>
      <c r="H54" s="10" t="str">
        <f>IF($E54="","",VLOOKUP($E54,Benchmark_URLs!$A$2:$L$46,6,FALSE))</f>
        <v>html</v>
      </c>
      <c r="I54" s="10" t="str">
        <f>IF($E54="","",VLOOKUP($E54,Benchmark_URLs!$A$2:$L$46,7,FALSE))</f>
        <v>Y</v>
      </c>
      <c r="J54" s="10" t="str">
        <f>IF($E54="","",VLOOKUP($E54,Benchmark_URLs!$A$2:$L$46,8,FALSE))</f>
        <v>N</v>
      </c>
      <c r="K54" s="10" t="str">
        <f>IF($E54="","",VLOOKUP($E54,Benchmark_URLs!$A$2:$L$46,9,FALSE))</f>
        <v>N</v>
      </c>
      <c r="L54" s="10" t="str">
        <f>IF($E54="","",VLOOKUP($E54,Benchmark_URLs!$A$2:$L$46,10,FALSE))</f>
        <v>Y</v>
      </c>
      <c r="M54" s="10">
        <f>IF($E54="","",VLOOKUP($E54,Benchmark_URLs!$A$2:$L$46,11,FALSE))</f>
        <v>2500</v>
      </c>
      <c r="N54" s="11">
        <v>200.0</v>
      </c>
      <c r="O54" s="11">
        <v>1.0</v>
      </c>
      <c r="P54" s="11">
        <v>0.0</v>
      </c>
      <c r="Q54" s="12">
        <v>3890.0</v>
      </c>
      <c r="R54" s="19"/>
      <c r="S54" s="19"/>
      <c r="T54" s="11">
        <v>1.0</v>
      </c>
      <c r="U54" s="11">
        <v>1.0</v>
      </c>
      <c r="V54" s="11">
        <v>0.0</v>
      </c>
      <c r="W54" s="19"/>
      <c r="X54" s="19"/>
      <c r="Y54" s="13">
        <v>1.2</v>
      </c>
      <c r="Z54" s="13">
        <v>1.0</v>
      </c>
      <c r="AA54" s="10"/>
      <c r="AB54" s="10"/>
      <c r="AC54" s="15" t="str">
        <f t="shared" si="7"/>
        <v/>
      </c>
      <c r="AD54" s="15">
        <f t="shared" si="1"/>
        <v>0.6666666667</v>
      </c>
      <c r="AE54" s="11">
        <v>0.0</v>
      </c>
      <c r="AF54" s="11">
        <v>0.0</v>
      </c>
      <c r="AG54" s="11">
        <v>0.0</v>
      </c>
      <c r="AH54" s="15">
        <f>IF($E54="","",IFERROR((Weights!$B$2*$O54 + Weights!$B$3*$AE54 + Weights!$B$4*$AD54 + Weights!$B$5*(1-$AC54) + Weights!$B$6*$AF54 + Weights!$B$7*$AG54)/SUM(Weights!$B$2:$B$7),"" ))</f>
        <v>0.55</v>
      </c>
      <c r="AI54" s="15">
        <f>IF($E54="","",IF($O54=0,0,IFERROR($AH54/MAX(Weights!$B$8,$Y54)/MAX(Weights!$B$9,IF($Z54="",0,$Z54)), "")))</f>
        <v>0.4583333333</v>
      </c>
      <c r="AJ54" s="17"/>
    </row>
    <row r="55" ht="15.75" customHeight="1">
      <c r="A55" s="6">
        <v>2.13401042026E11</v>
      </c>
      <c r="B55" s="7">
        <v>46026.0</v>
      </c>
      <c r="C55" s="6" t="s">
        <v>268</v>
      </c>
      <c r="D55" s="2" t="s">
        <v>207</v>
      </c>
      <c r="E55" s="2" t="s">
        <v>206</v>
      </c>
      <c r="F55" s="9" t="str">
        <f>IF($E55="","",VLOOKUP($E55,Benchmark_URLs!$A$2:$L$46,4,FALSE))</f>
        <v>https://search.worldbank.org/api/v2/news?format=json&amp;rows=20&amp;fct=displayconttype_exact,topic_exact,lang_exact,count_exact,countcode_exact,admreg_exact&amp;src=cq55&amp;apilang=en&amp;lang_exact=English&amp;displayconttype_exact=Press%20Release&amp;os=0</v>
      </c>
      <c r="G55" s="10"/>
      <c r="H55" s="10" t="str">
        <f>IF($E55="","",VLOOKUP($E55,Benchmark_URLs!$A$2:$L$46,6,FALSE))</f>
        <v>json</v>
      </c>
      <c r="I55" s="10" t="str">
        <f>IF($E55="","",VLOOKUP($E55,Benchmark_URLs!$A$2:$L$46,7,FALSE))</f>
        <v>N</v>
      </c>
      <c r="J55" s="10" t="str">
        <f>IF($E55="","",VLOOKUP($E55,Benchmark_URLs!$A$2:$L$46,8,FALSE))</f>
        <v>N</v>
      </c>
      <c r="K55" s="10" t="str">
        <f>IF($E55="","",VLOOKUP($E55,Benchmark_URLs!$A$2:$L$46,9,FALSE))</f>
        <v>Y</v>
      </c>
      <c r="L55" s="10" t="str">
        <f>IF($E55="","",VLOOKUP($E55,Benchmark_URLs!$A$2:$L$46,10,FALSE))</f>
        <v>Y</v>
      </c>
      <c r="M55" s="10">
        <f>IF($E55="","",VLOOKUP($E55,Benchmark_URLs!$A$2:$L$46,11,FALSE))</f>
        <v>1000</v>
      </c>
      <c r="N55" s="11">
        <v>200.0</v>
      </c>
      <c r="O55" s="11">
        <v>1.0</v>
      </c>
      <c r="P55" s="11">
        <v>0.0</v>
      </c>
      <c r="Q55" s="12">
        <v>2578.0</v>
      </c>
      <c r="R55" s="19"/>
      <c r="S55" s="19"/>
      <c r="T55" s="11">
        <v>1.0</v>
      </c>
      <c r="U55" s="11">
        <v>1.0</v>
      </c>
      <c r="V55" s="11">
        <v>0.0</v>
      </c>
      <c r="W55" s="19"/>
      <c r="X55" s="19"/>
      <c r="Y55" s="13">
        <v>1.67</v>
      </c>
      <c r="Z55" s="13">
        <v>1.0</v>
      </c>
      <c r="AA55" s="10"/>
      <c r="AB55" s="10"/>
      <c r="AC55" s="15" t="str">
        <f t="shared" si="7"/>
        <v/>
      </c>
      <c r="AD55" s="15">
        <f t="shared" si="1"/>
        <v>0.6666666667</v>
      </c>
      <c r="AE55" s="11">
        <v>0.0</v>
      </c>
      <c r="AF55" s="11">
        <v>0.0</v>
      </c>
      <c r="AG55" s="11">
        <v>0.0</v>
      </c>
      <c r="AH55" s="15">
        <f>IF($E55="","",IFERROR((Weights!$B$2*$O55 + Weights!$B$3*$AE55 + Weights!$B$4*$AD55 + Weights!$B$5*(1-$AC55) + Weights!$B$6*$AF55 + Weights!$B$7*$AG55)/SUM(Weights!$B$2:$B$7),"" ))</f>
        <v>0.55</v>
      </c>
      <c r="AI55" s="15">
        <f>IF($E55="","",IF($O55=0,0,IFERROR($AH55/MAX(Weights!$B$8,$Y55)/MAX(Weights!$B$9,IF($Z55="",0,$Z55)), "")))</f>
        <v>0.3293413174</v>
      </c>
      <c r="AJ55" s="17"/>
    </row>
    <row r="56" ht="15.75" customHeight="1">
      <c r="A56" s="6">
        <v>2.14001042026E11</v>
      </c>
      <c r="B56" s="7">
        <v>46026.0</v>
      </c>
      <c r="C56" s="6" t="s">
        <v>268</v>
      </c>
      <c r="D56" s="2" t="s">
        <v>207</v>
      </c>
      <c r="E56" s="6" t="s">
        <v>213</v>
      </c>
      <c r="F56" s="9" t="str">
        <f>IF($E56="","",VLOOKUP($E56,Benchmark_URLs!$A$2:$L$46,4,FALSE))</f>
        <v>https://search.worldbank.org/api/v2/news?format=json&amp;rows=20&amp;fct=displayconttype_exact,topic_exact,lang_exact,count_exact,countcode_exact,admreg_exact&amp;src=cq55&amp;apilang=en&amp;lang_exact=English&amp;displayconttype_exact=Press%20Release&amp;os=20</v>
      </c>
      <c r="G56" s="10"/>
      <c r="H56" s="10" t="str">
        <f>IF($E56="","",VLOOKUP($E56,Benchmark_URLs!$A$2:$L$46,6,FALSE))</f>
        <v>json</v>
      </c>
      <c r="I56" s="10" t="str">
        <f>IF($E56="","",VLOOKUP($E56,Benchmark_URLs!$A$2:$L$46,7,FALSE))</f>
        <v>N</v>
      </c>
      <c r="J56" s="10" t="str">
        <f>IF($E56="","",VLOOKUP($E56,Benchmark_URLs!$A$2:$L$46,8,FALSE))</f>
        <v>N</v>
      </c>
      <c r="K56" s="10" t="str">
        <f>IF($E56="","",VLOOKUP($E56,Benchmark_URLs!$A$2:$L$46,9,FALSE))</f>
        <v>Y</v>
      </c>
      <c r="L56" s="10" t="str">
        <f>IF($E56="","",VLOOKUP($E56,Benchmark_URLs!$A$2:$L$46,10,FALSE))</f>
        <v>Y</v>
      </c>
      <c r="M56" s="10">
        <f>IF($E56="","",VLOOKUP($E56,Benchmark_URLs!$A$2:$L$46,11,FALSE))</f>
        <v>1000</v>
      </c>
      <c r="N56" s="11">
        <v>200.0</v>
      </c>
      <c r="O56" s="11">
        <v>1.0</v>
      </c>
      <c r="P56" s="11">
        <v>0.0</v>
      </c>
      <c r="Q56" s="12">
        <v>4576.0</v>
      </c>
      <c r="R56" s="19"/>
      <c r="S56" s="19"/>
      <c r="T56" s="11">
        <v>1.0</v>
      </c>
      <c r="U56" s="11">
        <v>1.0</v>
      </c>
      <c r="V56" s="11">
        <v>0.0</v>
      </c>
      <c r="W56" s="19"/>
      <c r="X56" s="19"/>
      <c r="Y56" s="13">
        <v>1.34</v>
      </c>
      <c r="Z56" s="13">
        <v>1.0</v>
      </c>
      <c r="AA56" s="10"/>
      <c r="AB56" s="10"/>
      <c r="AC56" s="15" t="str">
        <f t="shared" si="7"/>
        <v/>
      </c>
      <c r="AD56" s="15">
        <f t="shared" si="1"/>
        <v>0.6666666667</v>
      </c>
      <c r="AE56" s="16">
        <f t="shared" ref="AE56:AE250" si="11">IF($E56="","",IFERROR(IF($Q56&gt;=$M56,1,0),0))</f>
        <v>1</v>
      </c>
      <c r="AF56" s="11">
        <v>0.0</v>
      </c>
      <c r="AG56" s="11">
        <v>0.0</v>
      </c>
      <c r="AH56" s="15">
        <f>IF($E56="","",IFERROR((Weights!$B$2*$O56 + Weights!$B$3*$AE56 + Weights!$B$4*$AD56 + Weights!$B$5*(1-$AC56) + Weights!$B$6*$AF56 + Weights!$B$7*$AG56)/SUM(Weights!$B$2:$B$7),"" ))</f>
        <v>0.8</v>
      </c>
      <c r="AI56" s="15">
        <f>IF($E56="","",IF($O56=0,0,IFERROR($AH56/MAX(Weights!$B$8,$Y56)/MAX(Weights!$B$9,IF($Z56="",0,$Z56)), "")))</f>
        <v>0.5970149254</v>
      </c>
      <c r="AJ56" s="17"/>
    </row>
    <row r="57" ht="15.75" customHeight="1">
      <c r="A57" s="32"/>
      <c r="B57" s="33"/>
      <c r="C57" s="32"/>
      <c r="D57" s="32"/>
      <c r="E57" s="32"/>
      <c r="F57" s="32" t="str">
        <f>IF($E57="","",VLOOKUP($E57,Benchmark_URLs!$A$2:$L$46,4,FALSE))</f>
        <v/>
      </c>
      <c r="G57" s="32"/>
      <c r="H57" s="32" t="str">
        <f>IF($E57="","",VLOOKUP($E57,Benchmark_URLs!$A$2:$L$46,6,FALSE))</f>
        <v/>
      </c>
      <c r="I57" s="32" t="str">
        <f>IF($E57="","",VLOOKUP($E57,Benchmark_URLs!$A$2:$L$46,7,FALSE))</f>
        <v/>
      </c>
      <c r="J57" s="32" t="str">
        <f>IF($E57="","",VLOOKUP($E57,Benchmark_URLs!$A$2:$L$46,8,FALSE))</f>
        <v/>
      </c>
      <c r="K57" s="32" t="str">
        <f>IF($E57="","",VLOOKUP($E57,Benchmark_URLs!$A$2:$L$46,9,FALSE))</f>
        <v/>
      </c>
      <c r="L57" s="32" t="str">
        <f>IF($E57="","",VLOOKUP($E57,Benchmark_URLs!$A$2:$L$46,10,FALSE))</f>
        <v/>
      </c>
      <c r="M57" s="32" t="str">
        <f>IF($E57="","",VLOOKUP($E57,Benchmark_URLs!$A$2:$L$46,11,FALSE))</f>
        <v/>
      </c>
      <c r="N57" s="34"/>
      <c r="O57" s="34"/>
      <c r="P57" s="34"/>
      <c r="Q57" s="35"/>
      <c r="R57" s="35"/>
      <c r="S57" s="35"/>
      <c r="T57" s="34"/>
      <c r="U57" s="34"/>
      <c r="V57" s="34"/>
      <c r="W57" s="35"/>
      <c r="X57" s="35"/>
      <c r="Y57" s="36"/>
      <c r="Z57" s="36"/>
      <c r="AA57" s="32"/>
      <c r="AB57" s="32"/>
      <c r="AC57" s="37" t="str">
        <f t="shared" si="7"/>
        <v/>
      </c>
      <c r="AD57" s="37" t="str">
        <f t="shared" si="1"/>
        <v/>
      </c>
      <c r="AE57" s="34" t="str">
        <f t="shared" si="11"/>
        <v/>
      </c>
      <c r="AF57" s="34" t="str">
        <f>IF($E57="","",IF($H57="pdf",IFERROR(IF($X57&gt;=Weights!$B$10,1,0),0),1))</f>
        <v/>
      </c>
      <c r="AG57" s="34" t="str">
        <f t="shared" ref="AG57:AG250" si="12">IF($E57="","",IF($I57="Y",IFERROR($P57,0),1))</f>
        <v/>
      </c>
      <c r="AH57" s="37" t="str">
        <f>IF($E57="","",IFERROR((Weights!$B$2*$O57 + Weights!$B$3*$AE57 + Weights!$B$4*$AD57 + Weights!$B$5*(1-$AC57) + Weights!$B$6*$AF57 + Weights!$B$7*$AG57)/SUM(Weights!$B$2:$B$7),"" ))</f>
        <v/>
      </c>
      <c r="AI57" s="37" t="str">
        <f>IF($E57="","",IF($O57=0,0,IFERROR($AH57/MAX(Weights!$B$8,$Y57)/MAX(Weights!$B$9,IF($Z57="",0,$Z57)), "")))</f>
        <v/>
      </c>
      <c r="AJ57" s="38"/>
    </row>
    <row r="58" ht="15.75" customHeight="1">
      <c r="A58" s="10"/>
      <c r="B58" s="39"/>
      <c r="C58" s="10"/>
      <c r="D58" s="10"/>
      <c r="E58" s="10"/>
      <c r="F58" s="10" t="str">
        <f>IF($E58="","",VLOOKUP($E58,Benchmark_URLs!$A$2:$L$46,4,FALSE))</f>
        <v/>
      </c>
      <c r="G58" s="10"/>
      <c r="H58" s="10" t="str">
        <f>IF($E58="","",VLOOKUP($E58,Benchmark_URLs!$A$2:$L$46,6,FALSE))</f>
        <v/>
      </c>
      <c r="I58" s="10" t="str">
        <f>IF($E58="","",VLOOKUP($E58,Benchmark_URLs!$A$2:$L$46,7,FALSE))</f>
        <v/>
      </c>
      <c r="J58" s="10" t="str">
        <f>IF($E58="","",VLOOKUP($E58,Benchmark_URLs!$A$2:$L$46,8,FALSE))</f>
        <v/>
      </c>
      <c r="K58" s="10" t="str">
        <f>IF($E58="","",VLOOKUP($E58,Benchmark_URLs!$A$2:$L$46,9,FALSE))</f>
        <v/>
      </c>
      <c r="L58" s="10" t="str">
        <f>IF($E58="","",VLOOKUP($E58,Benchmark_URLs!$A$2:$L$46,10,FALSE))</f>
        <v/>
      </c>
      <c r="M58" s="10" t="str">
        <f>IF($E58="","",VLOOKUP($E58,Benchmark_URLs!$A$2:$L$46,11,FALSE))</f>
        <v/>
      </c>
      <c r="N58" s="16"/>
      <c r="O58" s="16"/>
      <c r="P58" s="16"/>
      <c r="Q58" s="19"/>
      <c r="R58" s="19"/>
      <c r="S58" s="19"/>
      <c r="T58" s="16"/>
      <c r="U58" s="16"/>
      <c r="V58" s="16"/>
      <c r="W58" s="19"/>
      <c r="X58" s="19"/>
      <c r="Y58" s="20"/>
      <c r="Z58" s="20"/>
      <c r="AA58" s="10"/>
      <c r="AB58" s="10"/>
      <c r="AC58" s="15" t="str">
        <f t="shared" si="7"/>
        <v/>
      </c>
      <c r="AD58" s="15" t="str">
        <f t="shared" si="1"/>
        <v/>
      </c>
      <c r="AE58" s="16" t="str">
        <f t="shared" si="11"/>
        <v/>
      </c>
      <c r="AF58" s="16" t="str">
        <f>IF($E58="","",IF($H58="pdf",IFERROR(IF($X58&gt;=Weights!$B$10,1,0),0),1))</f>
        <v/>
      </c>
      <c r="AG58" s="16" t="str">
        <f t="shared" si="12"/>
        <v/>
      </c>
      <c r="AH58" s="15" t="str">
        <f>IF($E58="","",IFERROR((Weights!$B$2*$O58 + Weights!$B$3*$AE58 + Weights!$B$4*$AD58 + Weights!$B$5*(1-$AC58) + Weights!$B$6*$AF58 + Weights!$B$7*$AG58)/SUM(Weights!$B$2:$B$7),"" ))</f>
        <v/>
      </c>
      <c r="AI58" s="15" t="str">
        <f>IF($E58="","",IF($O58=0,0,IFERROR($AH58/MAX(Weights!$B$8,$Y58)/MAX(Weights!$B$9,IF($Z58="",0,$Z58)), "")))</f>
        <v/>
      </c>
      <c r="AJ58" s="17"/>
    </row>
    <row r="59" ht="15.75" customHeight="1">
      <c r="A59" s="10"/>
      <c r="B59" s="39"/>
      <c r="C59" s="10"/>
      <c r="D59" s="10"/>
      <c r="E59" s="10"/>
      <c r="F59" s="10" t="str">
        <f>IF($E59="","",VLOOKUP($E59,Benchmark_URLs!$A$2:$L$46,4,FALSE))</f>
        <v/>
      </c>
      <c r="G59" s="10"/>
      <c r="H59" s="10" t="str">
        <f>IF($E59="","",VLOOKUP($E59,Benchmark_URLs!$A$2:$L$46,6,FALSE))</f>
        <v/>
      </c>
      <c r="I59" s="10" t="str">
        <f>IF($E59="","",VLOOKUP($E59,Benchmark_URLs!$A$2:$L$46,7,FALSE))</f>
        <v/>
      </c>
      <c r="J59" s="10" t="str">
        <f>IF($E59="","",VLOOKUP($E59,Benchmark_URLs!$A$2:$L$46,8,FALSE))</f>
        <v/>
      </c>
      <c r="K59" s="10" t="str">
        <f>IF($E59="","",VLOOKUP($E59,Benchmark_URLs!$A$2:$L$46,9,FALSE))</f>
        <v/>
      </c>
      <c r="L59" s="10" t="str">
        <f>IF($E59="","",VLOOKUP($E59,Benchmark_URLs!$A$2:$L$46,10,FALSE))</f>
        <v/>
      </c>
      <c r="M59" s="10" t="str">
        <f>IF($E59="","",VLOOKUP($E59,Benchmark_URLs!$A$2:$L$46,11,FALSE))</f>
        <v/>
      </c>
      <c r="N59" s="16"/>
      <c r="O59" s="16"/>
      <c r="P59" s="16"/>
      <c r="Q59" s="19"/>
      <c r="R59" s="19"/>
      <c r="S59" s="19"/>
      <c r="T59" s="16"/>
      <c r="U59" s="16"/>
      <c r="V59" s="16"/>
      <c r="W59" s="19"/>
      <c r="X59" s="19"/>
      <c r="Y59" s="20"/>
      <c r="Z59" s="20"/>
      <c r="AA59" s="10"/>
      <c r="AB59" s="10"/>
      <c r="AC59" s="15" t="str">
        <f t="shared" si="7"/>
        <v/>
      </c>
      <c r="AD59" s="15" t="str">
        <f t="shared" si="1"/>
        <v/>
      </c>
      <c r="AE59" s="16" t="str">
        <f t="shared" si="11"/>
        <v/>
      </c>
      <c r="AF59" s="16" t="str">
        <f>IF($E59="","",IF($H59="pdf",IFERROR(IF($X59&gt;=Weights!$B$10,1,0),0),1))</f>
        <v/>
      </c>
      <c r="AG59" s="16" t="str">
        <f t="shared" si="12"/>
        <v/>
      </c>
      <c r="AH59" s="15" t="str">
        <f>IF($E59="","",IFERROR((Weights!$B$2*$O59 + Weights!$B$3*$AE59 + Weights!$B$4*$AD59 + Weights!$B$5*(1-$AC59) + Weights!$B$6*$AF59 + Weights!$B$7*$AG59)/SUM(Weights!$B$2:$B$7),"" ))</f>
        <v/>
      </c>
      <c r="AI59" s="15" t="str">
        <f>IF($E59="","",IF($O59=0,0,IFERROR($AH59/MAX(Weights!$B$8,$Y59)/MAX(Weights!$B$9,IF($Z59="",0,$Z59)), "")))</f>
        <v/>
      </c>
      <c r="AJ59" s="17"/>
    </row>
    <row r="60" ht="15.75" customHeight="1">
      <c r="A60" s="10"/>
      <c r="B60" s="39"/>
      <c r="C60" s="10"/>
      <c r="D60" s="10"/>
      <c r="E60" s="10"/>
      <c r="F60" s="10" t="str">
        <f>IF($E60="","",VLOOKUP($E60,Benchmark_URLs!$A$2:$L$46,4,FALSE))</f>
        <v/>
      </c>
      <c r="G60" s="10"/>
      <c r="H60" s="10" t="str">
        <f>IF($E60="","",VLOOKUP($E60,Benchmark_URLs!$A$2:$L$46,6,FALSE))</f>
        <v/>
      </c>
      <c r="I60" s="10" t="str">
        <f>IF($E60="","",VLOOKUP($E60,Benchmark_URLs!$A$2:$L$46,7,FALSE))</f>
        <v/>
      </c>
      <c r="J60" s="10" t="str">
        <f>IF($E60="","",VLOOKUP($E60,Benchmark_URLs!$A$2:$L$46,8,FALSE))</f>
        <v/>
      </c>
      <c r="K60" s="10" t="str">
        <f>IF($E60="","",VLOOKUP($E60,Benchmark_URLs!$A$2:$L$46,9,FALSE))</f>
        <v/>
      </c>
      <c r="L60" s="10" t="str">
        <f>IF($E60="","",VLOOKUP($E60,Benchmark_URLs!$A$2:$L$46,10,FALSE))</f>
        <v/>
      </c>
      <c r="M60" s="10" t="str">
        <f>IF($E60="","",VLOOKUP($E60,Benchmark_URLs!$A$2:$L$46,11,FALSE))</f>
        <v/>
      </c>
      <c r="N60" s="16"/>
      <c r="O60" s="16"/>
      <c r="P60" s="16"/>
      <c r="Q60" s="19"/>
      <c r="R60" s="19"/>
      <c r="S60" s="19"/>
      <c r="T60" s="16"/>
      <c r="U60" s="16"/>
      <c r="V60" s="16"/>
      <c r="W60" s="19"/>
      <c r="X60" s="19"/>
      <c r="Y60" s="20"/>
      <c r="Z60" s="20"/>
      <c r="AA60" s="10"/>
      <c r="AB60" s="10"/>
      <c r="AC60" s="15" t="str">
        <f t="shared" si="7"/>
        <v/>
      </c>
      <c r="AD60" s="15" t="str">
        <f t="shared" si="1"/>
        <v/>
      </c>
      <c r="AE60" s="16" t="str">
        <f t="shared" si="11"/>
        <v/>
      </c>
      <c r="AF60" s="16" t="str">
        <f>IF($E60="","",IF($H60="pdf",IFERROR(IF($X60&gt;=Weights!$B$10,1,0),0),1))</f>
        <v/>
      </c>
      <c r="AG60" s="16" t="str">
        <f t="shared" si="12"/>
        <v/>
      </c>
      <c r="AH60" s="15" t="str">
        <f>IF($E60="","",IFERROR((Weights!$B$2*$O60 + Weights!$B$3*$AE60 + Weights!$B$4*$AD60 + Weights!$B$5*(1-$AC60) + Weights!$B$6*$AF60 + Weights!$B$7*$AG60)/SUM(Weights!$B$2:$B$7),"" ))</f>
        <v/>
      </c>
      <c r="AI60" s="15" t="str">
        <f>IF($E60="","",IF($O60=0,0,IFERROR($AH60/MAX(Weights!$B$8,$Y60)/MAX(Weights!$B$9,IF($Z60="",0,$Z60)), "")))</f>
        <v/>
      </c>
      <c r="AJ60" s="17"/>
    </row>
    <row r="61" ht="15.75" customHeight="1">
      <c r="A61" s="10"/>
      <c r="B61" s="39"/>
      <c r="C61" s="10"/>
      <c r="D61" s="10"/>
      <c r="E61" s="10"/>
      <c r="F61" s="10" t="str">
        <f>IF($E61="","",VLOOKUP($E61,Benchmark_URLs!$A$2:$L$46,4,FALSE))</f>
        <v/>
      </c>
      <c r="G61" s="10"/>
      <c r="H61" s="10" t="str">
        <f>IF($E61="","",VLOOKUP($E61,Benchmark_URLs!$A$2:$L$46,6,FALSE))</f>
        <v/>
      </c>
      <c r="I61" s="10" t="str">
        <f>IF($E61="","",VLOOKUP($E61,Benchmark_URLs!$A$2:$L$46,7,FALSE))</f>
        <v/>
      </c>
      <c r="J61" s="10" t="str">
        <f>IF($E61="","",VLOOKUP($E61,Benchmark_URLs!$A$2:$L$46,8,FALSE))</f>
        <v/>
      </c>
      <c r="K61" s="10" t="str">
        <f>IF($E61="","",VLOOKUP($E61,Benchmark_URLs!$A$2:$L$46,9,FALSE))</f>
        <v/>
      </c>
      <c r="L61" s="10" t="str">
        <f>IF($E61="","",VLOOKUP($E61,Benchmark_URLs!$A$2:$L$46,10,FALSE))</f>
        <v/>
      </c>
      <c r="M61" s="10" t="str">
        <f>IF($E61="","",VLOOKUP($E61,Benchmark_URLs!$A$2:$L$46,11,FALSE))</f>
        <v/>
      </c>
      <c r="N61" s="16"/>
      <c r="O61" s="16"/>
      <c r="P61" s="16"/>
      <c r="Q61" s="19"/>
      <c r="R61" s="19"/>
      <c r="S61" s="19"/>
      <c r="T61" s="16"/>
      <c r="U61" s="16"/>
      <c r="V61" s="16"/>
      <c r="W61" s="19"/>
      <c r="X61" s="19"/>
      <c r="Y61" s="20"/>
      <c r="Z61" s="20"/>
      <c r="AA61" s="10"/>
      <c r="AB61" s="10"/>
      <c r="AC61" s="15" t="str">
        <f t="shared" si="7"/>
        <v/>
      </c>
      <c r="AD61" s="15" t="str">
        <f t="shared" si="1"/>
        <v/>
      </c>
      <c r="AE61" s="16" t="str">
        <f t="shared" si="11"/>
        <v/>
      </c>
      <c r="AF61" s="16" t="str">
        <f>IF($E61="","",IF($H61="pdf",IFERROR(IF($X61&gt;=Weights!$B$10,1,0),0),1))</f>
        <v/>
      </c>
      <c r="AG61" s="16" t="str">
        <f t="shared" si="12"/>
        <v/>
      </c>
      <c r="AH61" s="15" t="str">
        <f>IF($E61="","",IFERROR((Weights!$B$2*$O61 + Weights!$B$3*$AE61 + Weights!$B$4*$AD61 + Weights!$B$5*(1-$AC61) + Weights!$B$6*$AF61 + Weights!$B$7*$AG61)/SUM(Weights!$B$2:$B$7),"" ))</f>
        <v/>
      </c>
      <c r="AI61" s="15" t="str">
        <f>IF($E61="","",IF($O61=0,0,IFERROR($AH61/MAX(Weights!$B$8,$Y61)/MAX(Weights!$B$9,IF($Z61="",0,$Z61)), "")))</f>
        <v/>
      </c>
      <c r="AJ61" s="17"/>
    </row>
    <row r="62" ht="15.75" customHeight="1">
      <c r="A62" s="10"/>
      <c r="B62" s="39"/>
      <c r="C62" s="10"/>
      <c r="D62" s="10"/>
      <c r="E62" s="10"/>
      <c r="F62" s="10" t="str">
        <f>IF($E62="","",VLOOKUP($E62,Benchmark_URLs!$A$2:$L$46,4,FALSE))</f>
        <v/>
      </c>
      <c r="G62" s="10"/>
      <c r="H62" s="10" t="str">
        <f>IF($E62="","",VLOOKUP($E62,Benchmark_URLs!$A$2:$L$46,6,FALSE))</f>
        <v/>
      </c>
      <c r="I62" s="10" t="str">
        <f>IF($E62="","",VLOOKUP($E62,Benchmark_URLs!$A$2:$L$46,7,FALSE))</f>
        <v/>
      </c>
      <c r="J62" s="10" t="str">
        <f>IF($E62="","",VLOOKUP($E62,Benchmark_URLs!$A$2:$L$46,8,FALSE))</f>
        <v/>
      </c>
      <c r="K62" s="10" t="str">
        <f>IF($E62="","",VLOOKUP($E62,Benchmark_URLs!$A$2:$L$46,9,FALSE))</f>
        <v/>
      </c>
      <c r="L62" s="10" t="str">
        <f>IF($E62="","",VLOOKUP($E62,Benchmark_URLs!$A$2:$L$46,10,FALSE))</f>
        <v/>
      </c>
      <c r="M62" s="10" t="str">
        <f>IF($E62="","",VLOOKUP($E62,Benchmark_URLs!$A$2:$L$46,11,FALSE))</f>
        <v/>
      </c>
      <c r="N62" s="16"/>
      <c r="O62" s="16"/>
      <c r="P62" s="16"/>
      <c r="Q62" s="19"/>
      <c r="R62" s="19"/>
      <c r="S62" s="19"/>
      <c r="T62" s="16"/>
      <c r="U62" s="16"/>
      <c r="V62" s="16"/>
      <c r="W62" s="19"/>
      <c r="X62" s="19"/>
      <c r="Y62" s="20"/>
      <c r="Z62" s="20"/>
      <c r="AA62" s="10"/>
      <c r="AB62" s="10"/>
      <c r="AC62" s="15" t="str">
        <f t="shared" si="7"/>
        <v/>
      </c>
      <c r="AD62" s="15" t="str">
        <f t="shared" si="1"/>
        <v/>
      </c>
      <c r="AE62" s="16" t="str">
        <f t="shared" si="11"/>
        <v/>
      </c>
      <c r="AF62" s="16" t="str">
        <f>IF($E62="","",IF($H62="pdf",IFERROR(IF($X62&gt;=Weights!$B$10,1,0),0),1))</f>
        <v/>
      </c>
      <c r="AG62" s="16" t="str">
        <f t="shared" si="12"/>
        <v/>
      </c>
      <c r="AH62" s="15" t="str">
        <f>IF($E62="","",IFERROR((Weights!$B$2*$O62 + Weights!$B$3*$AE62 + Weights!$B$4*$AD62 + Weights!$B$5*(1-$AC62) + Weights!$B$6*$AF62 + Weights!$B$7*$AG62)/SUM(Weights!$B$2:$B$7),"" ))</f>
        <v/>
      </c>
      <c r="AI62" s="15" t="str">
        <f>IF($E62="","",IF($O62=0,0,IFERROR($AH62/MAX(Weights!$B$8,$Y62)/MAX(Weights!$B$9,IF($Z62="",0,$Z62)), "")))</f>
        <v/>
      </c>
      <c r="AJ62" s="17"/>
    </row>
    <row r="63" ht="15.75" customHeight="1">
      <c r="A63" s="10"/>
      <c r="B63" s="39"/>
      <c r="C63" s="10"/>
      <c r="D63" s="10"/>
      <c r="E63" s="10"/>
      <c r="F63" s="10" t="str">
        <f>IF($E63="","",VLOOKUP($E63,Benchmark_URLs!$A$2:$L$46,4,FALSE))</f>
        <v/>
      </c>
      <c r="G63" s="10"/>
      <c r="H63" s="10" t="str">
        <f>IF($E63="","",VLOOKUP($E63,Benchmark_URLs!$A$2:$L$46,6,FALSE))</f>
        <v/>
      </c>
      <c r="I63" s="10" t="str">
        <f>IF($E63="","",VLOOKUP($E63,Benchmark_URLs!$A$2:$L$46,7,FALSE))</f>
        <v/>
      </c>
      <c r="J63" s="10" t="str">
        <f>IF($E63="","",VLOOKUP($E63,Benchmark_URLs!$A$2:$L$46,8,FALSE))</f>
        <v/>
      </c>
      <c r="K63" s="10" t="str">
        <f>IF($E63="","",VLOOKUP($E63,Benchmark_URLs!$A$2:$L$46,9,FALSE))</f>
        <v/>
      </c>
      <c r="L63" s="10" t="str">
        <f>IF($E63="","",VLOOKUP($E63,Benchmark_URLs!$A$2:$L$46,10,FALSE))</f>
        <v/>
      </c>
      <c r="M63" s="10" t="str">
        <f>IF($E63="","",VLOOKUP($E63,Benchmark_URLs!$A$2:$L$46,11,FALSE))</f>
        <v/>
      </c>
      <c r="N63" s="16"/>
      <c r="O63" s="16"/>
      <c r="P63" s="16"/>
      <c r="Q63" s="19"/>
      <c r="R63" s="19"/>
      <c r="S63" s="19"/>
      <c r="T63" s="16"/>
      <c r="U63" s="16"/>
      <c r="V63" s="16"/>
      <c r="W63" s="19"/>
      <c r="X63" s="19"/>
      <c r="Y63" s="20"/>
      <c r="Z63" s="20"/>
      <c r="AA63" s="10"/>
      <c r="AB63" s="10"/>
      <c r="AC63" s="15" t="str">
        <f t="shared" si="7"/>
        <v/>
      </c>
      <c r="AD63" s="15" t="str">
        <f t="shared" si="1"/>
        <v/>
      </c>
      <c r="AE63" s="16" t="str">
        <f t="shared" si="11"/>
        <v/>
      </c>
      <c r="AF63" s="16" t="str">
        <f>IF($E63="","",IF($H63="pdf",IFERROR(IF($X63&gt;=Weights!$B$10,1,0),0),1))</f>
        <v/>
      </c>
      <c r="AG63" s="16" t="str">
        <f t="shared" si="12"/>
        <v/>
      </c>
      <c r="AH63" s="15" t="str">
        <f>IF($E63="","",IFERROR((Weights!$B$2*$O63 + Weights!$B$3*$AE63 + Weights!$B$4*$AD63 + Weights!$B$5*(1-$AC63) + Weights!$B$6*$AF63 + Weights!$B$7*$AG63)/SUM(Weights!$B$2:$B$7),"" ))</f>
        <v/>
      </c>
      <c r="AI63" s="15" t="str">
        <f>IF($E63="","",IF($O63=0,0,IFERROR($AH63/MAX(Weights!$B$8,$Y63)/MAX(Weights!$B$9,IF($Z63="",0,$Z63)), "")))</f>
        <v/>
      </c>
      <c r="AJ63" s="17"/>
    </row>
    <row r="64" ht="15.75" customHeight="1">
      <c r="A64" s="10"/>
      <c r="B64" s="39"/>
      <c r="C64" s="10"/>
      <c r="D64" s="10"/>
      <c r="E64" s="10"/>
      <c r="F64" s="10" t="str">
        <f>IF($E64="","",VLOOKUP($E64,Benchmark_URLs!$A$2:$L$46,4,FALSE))</f>
        <v/>
      </c>
      <c r="G64" s="10"/>
      <c r="H64" s="10" t="str">
        <f>IF($E64="","",VLOOKUP($E64,Benchmark_URLs!$A$2:$L$46,6,FALSE))</f>
        <v/>
      </c>
      <c r="I64" s="10" t="str">
        <f>IF($E64="","",VLOOKUP($E64,Benchmark_URLs!$A$2:$L$46,7,FALSE))</f>
        <v/>
      </c>
      <c r="J64" s="10" t="str">
        <f>IF($E64="","",VLOOKUP($E64,Benchmark_URLs!$A$2:$L$46,8,FALSE))</f>
        <v/>
      </c>
      <c r="K64" s="10" t="str">
        <f>IF($E64="","",VLOOKUP($E64,Benchmark_URLs!$A$2:$L$46,9,FALSE))</f>
        <v/>
      </c>
      <c r="L64" s="10" t="str">
        <f>IF($E64="","",VLOOKUP($E64,Benchmark_URLs!$A$2:$L$46,10,FALSE))</f>
        <v/>
      </c>
      <c r="M64" s="10" t="str">
        <f>IF($E64="","",VLOOKUP($E64,Benchmark_URLs!$A$2:$L$46,11,FALSE))</f>
        <v/>
      </c>
      <c r="N64" s="16"/>
      <c r="O64" s="16"/>
      <c r="P64" s="16"/>
      <c r="Q64" s="19"/>
      <c r="R64" s="19"/>
      <c r="S64" s="19"/>
      <c r="T64" s="16"/>
      <c r="U64" s="16"/>
      <c r="V64" s="16"/>
      <c r="W64" s="19"/>
      <c r="X64" s="19"/>
      <c r="Y64" s="20"/>
      <c r="Z64" s="20"/>
      <c r="AA64" s="10"/>
      <c r="AB64" s="10"/>
      <c r="AC64" s="15" t="str">
        <f t="shared" si="7"/>
        <v/>
      </c>
      <c r="AD64" s="15" t="str">
        <f t="shared" si="1"/>
        <v/>
      </c>
      <c r="AE64" s="16" t="str">
        <f t="shared" si="11"/>
        <v/>
      </c>
      <c r="AF64" s="16" t="str">
        <f>IF($E64="","",IF($H64="pdf",IFERROR(IF($X64&gt;=Weights!$B$10,1,0),0),1))</f>
        <v/>
      </c>
      <c r="AG64" s="16" t="str">
        <f t="shared" si="12"/>
        <v/>
      </c>
      <c r="AH64" s="15" t="str">
        <f>IF($E64="","",IFERROR((Weights!$B$2*$O64 + Weights!$B$3*$AE64 + Weights!$B$4*$AD64 + Weights!$B$5*(1-$AC64) + Weights!$B$6*$AF64 + Weights!$B$7*$AG64)/SUM(Weights!$B$2:$B$7),"" ))</f>
        <v/>
      </c>
      <c r="AI64" s="15" t="str">
        <f>IF($E64="","",IF($O64=0,0,IFERROR($AH64/MAX(Weights!$B$8,$Y64)/MAX(Weights!$B$9,IF($Z64="",0,$Z64)), "")))</f>
        <v/>
      </c>
      <c r="AJ64" s="17"/>
    </row>
    <row r="65" ht="15.75" customHeight="1">
      <c r="A65" s="10"/>
      <c r="B65" s="39"/>
      <c r="C65" s="10"/>
      <c r="D65" s="10"/>
      <c r="E65" s="10"/>
      <c r="F65" s="10" t="str">
        <f>IF($E65="","",VLOOKUP($E65,Benchmark_URLs!$A$2:$L$46,4,FALSE))</f>
        <v/>
      </c>
      <c r="G65" s="10"/>
      <c r="H65" s="10" t="str">
        <f>IF($E65="","",VLOOKUP($E65,Benchmark_URLs!$A$2:$L$46,6,FALSE))</f>
        <v/>
      </c>
      <c r="I65" s="10" t="str">
        <f>IF($E65="","",VLOOKUP($E65,Benchmark_URLs!$A$2:$L$46,7,FALSE))</f>
        <v/>
      </c>
      <c r="J65" s="10" t="str">
        <f>IF($E65="","",VLOOKUP($E65,Benchmark_URLs!$A$2:$L$46,8,FALSE))</f>
        <v/>
      </c>
      <c r="K65" s="10" t="str">
        <f>IF($E65="","",VLOOKUP($E65,Benchmark_URLs!$A$2:$L$46,9,FALSE))</f>
        <v/>
      </c>
      <c r="L65" s="10" t="str">
        <f>IF($E65="","",VLOOKUP($E65,Benchmark_URLs!$A$2:$L$46,10,FALSE))</f>
        <v/>
      </c>
      <c r="M65" s="10" t="str">
        <f>IF($E65="","",VLOOKUP($E65,Benchmark_URLs!$A$2:$L$46,11,FALSE))</f>
        <v/>
      </c>
      <c r="N65" s="16"/>
      <c r="O65" s="16"/>
      <c r="P65" s="16"/>
      <c r="Q65" s="19"/>
      <c r="R65" s="19"/>
      <c r="S65" s="19"/>
      <c r="T65" s="16"/>
      <c r="U65" s="16"/>
      <c r="V65" s="16"/>
      <c r="W65" s="19"/>
      <c r="X65" s="19"/>
      <c r="Y65" s="20"/>
      <c r="Z65" s="20"/>
      <c r="AA65" s="10"/>
      <c r="AB65" s="10"/>
      <c r="AC65" s="15" t="str">
        <f t="shared" si="7"/>
        <v/>
      </c>
      <c r="AD65" s="15" t="str">
        <f t="shared" si="1"/>
        <v/>
      </c>
      <c r="AE65" s="16" t="str">
        <f t="shared" si="11"/>
        <v/>
      </c>
      <c r="AF65" s="16" t="str">
        <f>IF($E65="","",IF($H65="pdf",IFERROR(IF($X65&gt;=Weights!$B$10,1,0),0),1))</f>
        <v/>
      </c>
      <c r="AG65" s="16" t="str">
        <f t="shared" si="12"/>
        <v/>
      </c>
      <c r="AH65" s="15" t="str">
        <f>IF($E65="","",IFERROR((Weights!$B$2*$O65 + Weights!$B$3*$AE65 + Weights!$B$4*$AD65 + Weights!$B$5*(1-$AC65) + Weights!$B$6*$AF65 + Weights!$B$7*$AG65)/SUM(Weights!$B$2:$B$7),"" ))</f>
        <v/>
      </c>
      <c r="AI65" s="15" t="str">
        <f>IF($E65="","",IF($O65=0,0,IFERROR($AH65/MAX(Weights!$B$8,$Y65)/MAX(Weights!$B$9,IF($Z65="",0,$Z65)), "")))</f>
        <v/>
      </c>
      <c r="AJ65" s="17"/>
    </row>
    <row r="66" ht="15.75" customHeight="1">
      <c r="A66" s="10"/>
      <c r="B66" s="39"/>
      <c r="C66" s="10"/>
      <c r="D66" s="10"/>
      <c r="E66" s="10"/>
      <c r="F66" s="10" t="str">
        <f>IF($E66="","",VLOOKUP($E66,Benchmark_URLs!$A$2:$L$46,4,FALSE))</f>
        <v/>
      </c>
      <c r="G66" s="10"/>
      <c r="H66" s="10" t="str">
        <f>IF($E66="","",VLOOKUP($E66,Benchmark_URLs!$A$2:$L$46,6,FALSE))</f>
        <v/>
      </c>
      <c r="I66" s="10" t="str">
        <f>IF($E66="","",VLOOKUP($E66,Benchmark_URLs!$A$2:$L$46,7,FALSE))</f>
        <v/>
      </c>
      <c r="J66" s="10" t="str">
        <f>IF($E66="","",VLOOKUP($E66,Benchmark_URLs!$A$2:$L$46,8,FALSE))</f>
        <v/>
      </c>
      <c r="K66" s="10" t="str">
        <f>IF($E66="","",VLOOKUP($E66,Benchmark_URLs!$A$2:$L$46,9,FALSE))</f>
        <v/>
      </c>
      <c r="L66" s="10" t="str">
        <f>IF($E66="","",VLOOKUP($E66,Benchmark_URLs!$A$2:$L$46,10,FALSE))</f>
        <v/>
      </c>
      <c r="M66" s="10" t="str">
        <f>IF($E66="","",VLOOKUP($E66,Benchmark_URLs!$A$2:$L$46,11,FALSE))</f>
        <v/>
      </c>
      <c r="N66" s="16"/>
      <c r="O66" s="16"/>
      <c r="P66" s="16"/>
      <c r="Q66" s="19"/>
      <c r="R66" s="19"/>
      <c r="S66" s="19"/>
      <c r="T66" s="16"/>
      <c r="U66" s="16"/>
      <c r="V66" s="16"/>
      <c r="W66" s="19"/>
      <c r="X66" s="19"/>
      <c r="Y66" s="20"/>
      <c r="Z66" s="20"/>
      <c r="AA66" s="10"/>
      <c r="AB66" s="10"/>
      <c r="AC66" s="15" t="str">
        <f t="shared" si="7"/>
        <v/>
      </c>
      <c r="AD66" s="15" t="str">
        <f t="shared" si="1"/>
        <v/>
      </c>
      <c r="AE66" s="16" t="str">
        <f t="shared" si="11"/>
        <v/>
      </c>
      <c r="AF66" s="16" t="str">
        <f>IF($E66="","",IF($H66="pdf",IFERROR(IF($X66&gt;=Weights!$B$10,1,0),0),1))</f>
        <v/>
      </c>
      <c r="AG66" s="16" t="str">
        <f t="shared" si="12"/>
        <v/>
      </c>
      <c r="AH66" s="15" t="str">
        <f>IF($E66="","",IFERROR((Weights!$B$2*$O66 + Weights!$B$3*$AE66 + Weights!$B$4*$AD66 + Weights!$B$5*(1-$AC66) + Weights!$B$6*$AF66 + Weights!$B$7*$AG66)/SUM(Weights!$B$2:$B$7),"" ))</f>
        <v/>
      </c>
      <c r="AI66" s="15" t="str">
        <f>IF($E66="","",IF($O66=0,0,IFERROR($AH66/MAX(Weights!$B$8,$Y66)/MAX(Weights!$B$9,IF($Z66="",0,$Z66)), "")))</f>
        <v/>
      </c>
      <c r="AJ66" s="17"/>
    </row>
    <row r="67" ht="15.75" customHeight="1">
      <c r="A67" s="10"/>
      <c r="B67" s="39"/>
      <c r="C67" s="10"/>
      <c r="D67" s="10"/>
      <c r="E67" s="10"/>
      <c r="F67" s="10" t="str">
        <f>IF($E67="","",VLOOKUP($E67,Benchmark_URLs!$A$2:$L$46,4,FALSE))</f>
        <v/>
      </c>
      <c r="G67" s="10"/>
      <c r="H67" s="10" t="str">
        <f>IF($E67="","",VLOOKUP($E67,Benchmark_URLs!$A$2:$L$46,6,FALSE))</f>
        <v/>
      </c>
      <c r="I67" s="10" t="str">
        <f>IF($E67="","",VLOOKUP($E67,Benchmark_URLs!$A$2:$L$46,7,FALSE))</f>
        <v/>
      </c>
      <c r="J67" s="10" t="str">
        <f>IF($E67="","",VLOOKUP($E67,Benchmark_URLs!$A$2:$L$46,8,FALSE))</f>
        <v/>
      </c>
      <c r="K67" s="10" t="str">
        <f>IF($E67="","",VLOOKUP($E67,Benchmark_URLs!$A$2:$L$46,9,FALSE))</f>
        <v/>
      </c>
      <c r="L67" s="10" t="str">
        <f>IF($E67="","",VLOOKUP($E67,Benchmark_URLs!$A$2:$L$46,10,FALSE))</f>
        <v/>
      </c>
      <c r="M67" s="10" t="str">
        <f>IF($E67="","",VLOOKUP($E67,Benchmark_URLs!$A$2:$L$46,11,FALSE))</f>
        <v/>
      </c>
      <c r="N67" s="16"/>
      <c r="O67" s="16"/>
      <c r="P67" s="16"/>
      <c r="Q67" s="19"/>
      <c r="R67" s="19"/>
      <c r="S67" s="19"/>
      <c r="T67" s="16"/>
      <c r="U67" s="16"/>
      <c r="V67" s="16"/>
      <c r="W67" s="19"/>
      <c r="X67" s="19"/>
      <c r="Y67" s="20"/>
      <c r="Z67" s="20"/>
      <c r="AA67" s="10"/>
      <c r="AB67" s="10"/>
      <c r="AC67" s="15" t="str">
        <f t="shared" si="7"/>
        <v/>
      </c>
      <c r="AD67" s="15" t="str">
        <f t="shared" si="1"/>
        <v/>
      </c>
      <c r="AE67" s="16" t="str">
        <f t="shared" si="11"/>
        <v/>
      </c>
      <c r="AF67" s="16" t="str">
        <f>IF($E67="","",IF($H67="pdf",IFERROR(IF($X67&gt;=Weights!$B$10,1,0),0),1))</f>
        <v/>
      </c>
      <c r="AG67" s="16" t="str">
        <f t="shared" si="12"/>
        <v/>
      </c>
      <c r="AH67" s="15" t="str">
        <f>IF($E67="","",IFERROR((Weights!$B$2*$O67 + Weights!$B$3*$AE67 + Weights!$B$4*$AD67 + Weights!$B$5*(1-$AC67) + Weights!$B$6*$AF67 + Weights!$B$7*$AG67)/SUM(Weights!$B$2:$B$7),"" ))</f>
        <v/>
      </c>
      <c r="AI67" s="15" t="str">
        <f>IF($E67="","",IF($O67=0,0,IFERROR($AH67/MAX(Weights!$B$8,$Y67)/MAX(Weights!$B$9,IF($Z67="",0,$Z67)), "")))</f>
        <v/>
      </c>
      <c r="AJ67" s="17"/>
    </row>
    <row r="68" ht="15.75" customHeight="1">
      <c r="A68" s="10"/>
      <c r="B68" s="39"/>
      <c r="C68" s="10"/>
      <c r="D68" s="10"/>
      <c r="E68" s="10"/>
      <c r="F68" s="10" t="str">
        <f>IF($E68="","",VLOOKUP($E68,Benchmark_URLs!$A$2:$L$46,4,FALSE))</f>
        <v/>
      </c>
      <c r="G68" s="10"/>
      <c r="H68" s="10" t="str">
        <f>IF($E68="","",VLOOKUP($E68,Benchmark_URLs!$A$2:$L$46,6,FALSE))</f>
        <v/>
      </c>
      <c r="I68" s="10" t="str">
        <f>IF($E68="","",VLOOKUP($E68,Benchmark_URLs!$A$2:$L$46,7,FALSE))</f>
        <v/>
      </c>
      <c r="J68" s="10" t="str">
        <f>IF($E68="","",VLOOKUP($E68,Benchmark_URLs!$A$2:$L$46,8,FALSE))</f>
        <v/>
      </c>
      <c r="K68" s="10" t="str">
        <f>IF($E68="","",VLOOKUP($E68,Benchmark_URLs!$A$2:$L$46,9,FALSE))</f>
        <v/>
      </c>
      <c r="L68" s="10" t="str">
        <f>IF($E68="","",VLOOKUP($E68,Benchmark_URLs!$A$2:$L$46,10,FALSE))</f>
        <v/>
      </c>
      <c r="M68" s="10" t="str">
        <f>IF($E68="","",VLOOKUP($E68,Benchmark_URLs!$A$2:$L$46,11,FALSE))</f>
        <v/>
      </c>
      <c r="N68" s="16"/>
      <c r="O68" s="16"/>
      <c r="P68" s="16"/>
      <c r="Q68" s="19"/>
      <c r="R68" s="19"/>
      <c r="S68" s="19"/>
      <c r="T68" s="16"/>
      <c r="U68" s="16"/>
      <c r="V68" s="16"/>
      <c r="W68" s="19"/>
      <c r="X68" s="19"/>
      <c r="Y68" s="20"/>
      <c r="Z68" s="20"/>
      <c r="AA68" s="10"/>
      <c r="AB68" s="10"/>
      <c r="AC68" s="15" t="str">
        <f t="shared" si="7"/>
        <v/>
      </c>
      <c r="AD68" s="15" t="str">
        <f t="shared" si="1"/>
        <v/>
      </c>
      <c r="AE68" s="16" t="str">
        <f t="shared" si="11"/>
        <v/>
      </c>
      <c r="AF68" s="16" t="str">
        <f>IF($E68="","",IF($H68="pdf",IFERROR(IF($X68&gt;=Weights!$B$10,1,0),0),1))</f>
        <v/>
      </c>
      <c r="AG68" s="16" t="str">
        <f t="shared" si="12"/>
        <v/>
      </c>
      <c r="AH68" s="15" t="str">
        <f>IF($E68="","",IFERROR((Weights!$B$2*$O68 + Weights!$B$3*$AE68 + Weights!$B$4*$AD68 + Weights!$B$5*(1-$AC68) + Weights!$B$6*$AF68 + Weights!$B$7*$AG68)/SUM(Weights!$B$2:$B$7),"" ))</f>
        <v/>
      </c>
      <c r="AI68" s="15" t="str">
        <f>IF($E68="","",IF($O68=0,0,IFERROR($AH68/MAX(Weights!$B$8,$Y68)/MAX(Weights!$B$9,IF($Z68="",0,$Z68)), "")))</f>
        <v/>
      </c>
      <c r="AJ68" s="17"/>
    </row>
    <row r="69" ht="15.75" customHeight="1">
      <c r="A69" s="10"/>
      <c r="B69" s="39"/>
      <c r="C69" s="10"/>
      <c r="D69" s="10"/>
      <c r="E69" s="10"/>
      <c r="F69" s="10" t="str">
        <f>IF($E69="","",VLOOKUP($E69,Benchmark_URLs!$A$2:$L$46,4,FALSE))</f>
        <v/>
      </c>
      <c r="G69" s="10"/>
      <c r="H69" s="10" t="str">
        <f>IF($E69="","",VLOOKUP($E69,Benchmark_URLs!$A$2:$L$46,6,FALSE))</f>
        <v/>
      </c>
      <c r="I69" s="10" t="str">
        <f>IF($E69="","",VLOOKUP($E69,Benchmark_URLs!$A$2:$L$46,7,FALSE))</f>
        <v/>
      </c>
      <c r="J69" s="10" t="str">
        <f>IF($E69="","",VLOOKUP($E69,Benchmark_URLs!$A$2:$L$46,8,FALSE))</f>
        <v/>
      </c>
      <c r="K69" s="10" t="str">
        <f>IF($E69="","",VLOOKUP($E69,Benchmark_URLs!$A$2:$L$46,9,FALSE))</f>
        <v/>
      </c>
      <c r="L69" s="10" t="str">
        <f>IF($E69="","",VLOOKUP($E69,Benchmark_URLs!$A$2:$L$46,10,FALSE))</f>
        <v/>
      </c>
      <c r="M69" s="10" t="str">
        <f>IF($E69="","",VLOOKUP($E69,Benchmark_URLs!$A$2:$L$46,11,FALSE))</f>
        <v/>
      </c>
      <c r="N69" s="16"/>
      <c r="O69" s="16"/>
      <c r="P69" s="16"/>
      <c r="Q69" s="19"/>
      <c r="R69" s="19"/>
      <c r="S69" s="19"/>
      <c r="T69" s="16"/>
      <c r="U69" s="16"/>
      <c r="V69" s="16"/>
      <c r="W69" s="19"/>
      <c r="X69" s="19"/>
      <c r="Y69" s="20"/>
      <c r="Z69" s="20"/>
      <c r="AA69" s="10"/>
      <c r="AB69" s="10"/>
      <c r="AC69" s="15" t="str">
        <f t="shared" si="7"/>
        <v/>
      </c>
      <c r="AD69" s="15" t="str">
        <f t="shared" si="1"/>
        <v/>
      </c>
      <c r="AE69" s="16" t="str">
        <f t="shared" si="11"/>
        <v/>
      </c>
      <c r="AF69" s="16" t="str">
        <f>IF($E69="","",IF($H69="pdf",IFERROR(IF($X69&gt;=Weights!$B$10,1,0),0),1))</f>
        <v/>
      </c>
      <c r="AG69" s="16" t="str">
        <f t="shared" si="12"/>
        <v/>
      </c>
      <c r="AH69" s="15" t="str">
        <f>IF($E69="","",IFERROR((Weights!$B$2*$O69 + Weights!$B$3*$AE69 + Weights!$B$4*$AD69 + Weights!$B$5*(1-$AC69) + Weights!$B$6*$AF69 + Weights!$B$7*$AG69)/SUM(Weights!$B$2:$B$7),"" ))</f>
        <v/>
      </c>
      <c r="AI69" s="15" t="str">
        <f>IF($E69="","",IF($O69=0,0,IFERROR($AH69/MAX(Weights!$B$8,$Y69)/MAX(Weights!$B$9,IF($Z69="",0,$Z69)), "")))</f>
        <v/>
      </c>
      <c r="AJ69" s="17"/>
    </row>
    <row r="70" ht="15.75" customHeight="1">
      <c r="A70" s="10"/>
      <c r="B70" s="39"/>
      <c r="C70" s="10"/>
      <c r="D70" s="10"/>
      <c r="E70" s="10"/>
      <c r="F70" s="10" t="str">
        <f>IF($E70="","",VLOOKUP($E70,Benchmark_URLs!$A$2:$L$46,4,FALSE))</f>
        <v/>
      </c>
      <c r="G70" s="10"/>
      <c r="H70" s="10" t="str">
        <f>IF($E70="","",VLOOKUP($E70,Benchmark_URLs!$A$2:$L$46,6,FALSE))</f>
        <v/>
      </c>
      <c r="I70" s="10" t="str">
        <f>IF($E70="","",VLOOKUP($E70,Benchmark_URLs!$A$2:$L$46,7,FALSE))</f>
        <v/>
      </c>
      <c r="J70" s="10" t="str">
        <f>IF($E70="","",VLOOKUP($E70,Benchmark_URLs!$A$2:$L$46,8,FALSE))</f>
        <v/>
      </c>
      <c r="K70" s="10" t="str">
        <f>IF($E70="","",VLOOKUP($E70,Benchmark_URLs!$A$2:$L$46,9,FALSE))</f>
        <v/>
      </c>
      <c r="L70" s="10" t="str">
        <f>IF($E70="","",VLOOKUP($E70,Benchmark_URLs!$A$2:$L$46,10,FALSE))</f>
        <v/>
      </c>
      <c r="M70" s="10" t="str">
        <f>IF($E70="","",VLOOKUP($E70,Benchmark_URLs!$A$2:$L$46,11,FALSE))</f>
        <v/>
      </c>
      <c r="N70" s="16"/>
      <c r="O70" s="16"/>
      <c r="P70" s="16"/>
      <c r="Q70" s="19"/>
      <c r="R70" s="19"/>
      <c r="S70" s="19"/>
      <c r="T70" s="16"/>
      <c r="U70" s="16"/>
      <c r="V70" s="16"/>
      <c r="W70" s="19"/>
      <c r="X70" s="19"/>
      <c r="Y70" s="20"/>
      <c r="Z70" s="20"/>
      <c r="AA70" s="10"/>
      <c r="AB70" s="10"/>
      <c r="AC70" s="15" t="str">
        <f t="shared" si="7"/>
        <v/>
      </c>
      <c r="AD70" s="15" t="str">
        <f t="shared" si="1"/>
        <v/>
      </c>
      <c r="AE70" s="16" t="str">
        <f t="shared" si="11"/>
        <v/>
      </c>
      <c r="AF70" s="16" t="str">
        <f>IF($E70="","",IF($H70="pdf",IFERROR(IF($X70&gt;=Weights!$B$10,1,0),0),1))</f>
        <v/>
      </c>
      <c r="AG70" s="16" t="str">
        <f t="shared" si="12"/>
        <v/>
      </c>
      <c r="AH70" s="15" t="str">
        <f>IF($E70="","",IFERROR((Weights!$B$2*$O70 + Weights!$B$3*$AE70 + Weights!$B$4*$AD70 + Weights!$B$5*(1-$AC70) + Weights!$B$6*$AF70 + Weights!$B$7*$AG70)/SUM(Weights!$B$2:$B$7),"" ))</f>
        <v/>
      </c>
      <c r="AI70" s="15" t="str">
        <f>IF($E70="","",IF($O70=0,0,IFERROR($AH70/MAX(Weights!$B$8,$Y70)/MAX(Weights!$B$9,IF($Z70="",0,$Z70)), "")))</f>
        <v/>
      </c>
      <c r="AJ70" s="17"/>
    </row>
    <row r="71" ht="15.75" customHeight="1">
      <c r="A71" s="10"/>
      <c r="B71" s="39"/>
      <c r="C71" s="10"/>
      <c r="D71" s="10"/>
      <c r="E71" s="10"/>
      <c r="F71" s="10" t="str">
        <f>IF($E71="","",VLOOKUP($E71,Benchmark_URLs!$A$2:$L$46,4,FALSE))</f>
        <v/>
      </c>
      <c r="G71" s="10"/>
      <c r="H71" s="10" t="str">
        <f>IF($E71="","",VLOOKUP($E71,Benchmark_URLs!$A$2:$L$46,6,FALSE))</f>
        <v/>
      </c>
      <c r="I71" s="10" t="str">
        <f>IF($E71="","",VLOOKUP($E71,Benchmark_URLs!$A$2:$L$46,7,FALSE))</f>
        <v/>
      </c>
      <c r="J71" s="10" t="str">
        <f>IF($E71="","",VLOOKUP($E71,Benchmark_URLs!$A$2:$L$46,8,FALSE))</f>
        <v/>
      </c>
      <c r="K71" s="10" t="str">
        <f>IF($E71="","",VLOOKUP($E71,Benchmark_URLs!$A$2:$L$46,9,FALSE))</f>
        <v/>
      </c>
      <c r="L71" s="10" t="str">
        <f>IF($E71="","",VLOOKUP($E71,Benchmark_URLs!$A$2:$L$46,10,FALSE))</f>
        <v/>
      </c>
      <c r="M71" s="10" t="str">
        <f>IF($E71="","",VLOOKUP($E71,Benchmark_URLs!$A$2:$L$46,11,FALSE))</f>
        <v/>
      </c>
      <c r="N71" s="16"/>
      <c r="O71" s="16"/>
      <c r="P71" s="16"/>
      <c r="Q71" s="19"/>
      <c r="R71" s="19"/>
      <c r="S71" s="19"/>
      <c r="T71" s="16"/>
      <c r="U71" s="16"/>
      <c r="V71" s="16"/>
      <c r="W71" s="19"/>
      <c r="X71" s="19"/>
      <c r="Y71" s="20"/>
      <c r="Z71" s="20"/>
      <c r="AA71" s="10"/>
      <c r="AB71" s="10"/>
      <c r="AC71" s="15" t="str">
        <f t="shared" si="7"/>
        <v/>
      </c>
      <c r="AD71" s="15" t="str">
        <f t="shared" si="1"/>
        <v/>
      </c>
      <c r="AE71" s="16" t="str">
        <f t="shared" si="11"/>
        <v/>
      </c>
      <c r="AF71" s="16" t="str">
        <f>IF($E71="","",IF($H71="pdf",IFERROR(IF($X71&gt;=Weights!$B$10,1,0),0),1))</f>
        <v/>
      </c>
      <c r="AG71" s="16" t="str">
        <f t="shared" si="12"/>
        <v/>
      </c>
      <c r="AH71" s="15" t="str">
        <f>IF($E71="","",IFERROR((Weights!$B$2*$O71 + Weights!$B$3*$AE71 + Weights!$B$4*$AD71 + Weights!$B$5*(1-$AC71) + Weights!$B$6*$AF71 + Weights!$B$7*$AG71)/SUM(Weights!$B$2:$B$7),"" ))</f>
        <v/>
      </c>
      <c r="AI71" s="15" t="str">
        <f>IF($E71="","",IF($O71=0,0,IFERROR($AH71/MAX(Weights!$B$8,$Y71)/MAX(Weights!$B$9,IF($Z71="",0,$Z71)), "")))</f>
        <v/>
      </c>
      <c r="AJ71" s="17"/>
    </row>
    <row r="72" ht="15.75" customHeight="1">
      <c r="A72" s="10"/>
      <c r="B72" s="39"/>
      <c r="C72" s="10"/>
      <c r="D72" s="10"/>
      <c r="E72" s="10"/>
      <c r="F72" s="10" t="str">
        <f>IF($E72="","",VLOOKUP($E72,Benchmark_URLs!$A$2:$L$46,4,FALSE))</f>
        <v/>
      </c>
      <c r="G72" s="10"/>
      <c r="H72" s="10" t="str">
        <f>IF($E72="","",VLOOKUP($E72,Benchmark_URLs!$A$2:$L$46,6,FALSE))</f>
        <v/>
      </c>
      <c r="I72" s="10" t="str">
        <f>IF($E72="","",VLOOKUP($E72,Benchmark_URLs!$A$2:$L$46,7,FALSE))</f>
        <v/>
      </c>
      <c r="J72" s="10" t="str">
        <f>IF($E72="","",VLOOKUP($E72,Benchmark_URLs!$A$2:$L$46,8,FALSE))</f>
        <v/>
      </c>
      <c r="K72" s="10" t="str">
        <f>IF($E72="","",VLOOKUP($E72,Benchmark_URLs!$A$2:$L$46,9,FALSE))</f>
        <v/>
      </c>
      <c r="L72" s="10" t="str">
        <f>IF($E72="","",VLOOKUP($E72,Benchmark_URLs!$A$2:$L$46,10,FALSE))</f>
        <v/>
      </c>
      <c r="M72" s="10" t="str">
        <f>IF($E72="","",VLOOKUP($E72,Benchmark_URLs!$A$2:$L$46,11,FALSE))</f>
        <v/>
      </c>
      <c r="N72" s="16"/>
      <c r="O72" s="16"/>
      <c r="P72" s="16"/>
      <c r="Q72" s="19"/>
      <c r="R72" s="19"/>
      <c r="S72" s="19"/>
      <c r="T72" s="16"/>
      <c r="U72" s="16"/>
      <c r="V72" s="16"/>
      <c r="W72" s="19"/>
      <c r="X72" s="19"/>
      <c r="Y72" s="20"/>
      <c r="Z72" s="20"/>
      <c r="AA72" s="10"/>
      <c r="AB72" s="10"/>
      <c r="AC72" s="15" t="str">
        <f t="shared" si="7"/>
        <v/>
      </c>
      <c r="AD72" s="15" t="str">
        <f t="shared" si="1"/>
        <v/>
      </c>
      <c r="AE72" s="16" t="str">
        <f t="shared" si="11"/>
        <v/>
      </c>
      <c r="AF72" s="16" t="str">
        <f>IF($E72="","",IF($H72="pdf",IFERROR(IF($X72&gt;=Weights!$B$10,1,0),0),1))</f>
        <v/>
      </c>
      <c r="AG72" s="16" t="str">
        <f t="shared" si="12"/>
        <v/>
      </c>
      <c r="AH72" s="15" t="str">
        <f>IF($E72="","",IFERROR((Weights!$B$2*$O72 + Weights!$B$3*$AE72 + Weights!$B$4*$AD72 + Weights!$B$5*(1-$AC72) + Weights!$B$6*$AF72 + Weights!$B$7*$AG72)/SUM(Weights!$B$2:$B$7),"" ))</f>
        <v/>
      </c>
      <c r="AI72" s="15" t="str">
        <f>IF($E72="","",IF($O72=0,0,IFERROR($AH72/MAX(Weights!$B$8,$Y72)/MAX(Weights!$B$9,IF($Z72="",0,$Z72)), "")))</f>
        <v/>
      </c>
      <c r="AJ72" s="17"/>
    </row>
    <row r="73" ht="15.75" customHeight="1">
      <c r="A73" s="10"/>
      <c r="B73" s="39"/>
      <c r="C73" s="10"/>
      <c r="D73" s="10"/>
      <c r="E73" s="10"/>
      <c r="F73" s="10" t="str">
        <f>IF($E73="","",VLOOKUP($E73,Benchmark_URLs!$A$2:$L$46,4,FALSE))</f>
        <v/>
      </c>
      <c r="G73" s="10"/>
      <c r="H73" s="10" t="str">
        <f>IF($E73="","",VLOOKUP($E73,Benchmark_URLs!$A$2:$L$46,6,FALSE))</f>
        <v/>
      </c>
      <c r="I73" s="10" t="str">
        <f>IF($E73="","",VLOOKUP($E73,Benchmark_URLs!$A$2:$L$46,7,FALSE))</f>
        <v/>
      </c>
      <c r="J73" s="10" t="str">
        <f>IF($E73="","",VLOOKUP($E73,Benchmark_URLs!$A$2:$L$46,8,FALSE))</f>
        <v/>
      </c>
      <c r="K73" s="10" t="str">
        <f>IF($E73="","",VLOOKUP($E73,Benchmark_URLs!$A$2:$L$46,9,FALSE))</f>
        <v/>
      </c>
      <c r="L73" s="10" t="str">
        <f>IF($E73="","",VLOOKUP($E73,Benchmark_URLs!$A$2:$L$46,10,FALSE))</f>
        <v/>
      </c>
      <c r="M73" s="10" t="str">
        <f>IF($E73="","",VLOOKUP($E73,Benchmark_URLs!$A$2:$L$46,11,FALSE))</f>
        <v/>
      </c>
      <c r="N73" s="16"/>
      <c r="O73" s="16"/>
      <c r="P73" s="16"/>
      <c r="Q73" s="19"/>
      <c r="R73" s="19"/>
      <c r="S73" s="19"/>
      <c r="T73" s="16"/>
      <c r="U73" s="16"/>
      <c r="V73" s="16"/>
      <c r="W73" s="19"/>
      <c r="X73" s="19"/>
      <c r="Y73" s="20"/>
      <c r="Z73" s="20"/>
      <c r="AA73" s="10"/>
      <c r="AB73" s="10"/>
      <c r="AC73" s="15" t="str">
        <f t="shared" si="7"/>
        <v/>
      </c>
      <c r="AD73" s="15" t="str">
        <f t="shared" si="1"/>
        <v/>
      </c>
      <c r="AE73" s="16" t="str">
        <f t="shared" si="11"/>
        <v/>
      </c>
      <c r="AF73" s="16" t="str">
        <f>IF($E73="","",IF($H73="pdf",IFERROR(IF($X73&gt;=Weights!$B$10,1,0),0),1))</f>
        <v/>
      </c>
      <c r="AG73" s="16" t="str">
        <f t="shared" si="12"/>
        <v/>
      </c>
      <c r="AH73" s="15" t="str">
        <f>IF($E73="","",IFERROR((Weights!$B$2*$O73 + Weights!$B$3*$AE73 + Weights!$B$4*$AD73 + Weights!$B$5*(1-$AC73) + Weights!$B$6*$AF73 + Weights!$B$7*$AG73)/SUM(Weights!$B$2:$B$7),"" ))</f>
        <v/>
      </c>
      <c r="AI73" s="15" t="str">
        <f>IF($E73="","",IF($O73=0,0,IFERROR($AH73/MAX(Weights!$B$8,$Y73)/MAX(Weights!$B$9,IF($Z73="",0,$Z73)), "")))</f>
        <v/>
      </c>
      <c r="AJ73" s="17"/>
    </row>
    <row r="74" ht="15.75" customHeight="1">
      <c r="A74" s="10"/>
      <c r="B74" s="39"/>
      <c r="C74" s="10"/>
      <c r="D74" s="10"/>
      <c r="E74" s="10"/>
      <c r="F74" s="10" t="str">
        <f>IF($E74="","",VLOOKUP($E74,Benchmark_URLs!$A$2:$L$46,4,FALSE))</f>
        <v/>
      </c>
      <c r="G74" s="10"/>
      <c r="H74" s="10" t="str">
        <f>IF($E74="","",VLOOKUP($E74,Benchmark_URLs!$A$2:$L$46,6,FALSE))</f>
        <v/>
      </c>
      <c r="I74" s="10" t="str">
        <f>IF($E74="","",VLOOKUP($E74,Benchmark_URLs!$A$2:$L$46,7,FALSE))</f>
        <v/>
      </c>
      <c r="J74" s="10" t="str">
        <f>IF($E74="","",VLOOKUP($E74,Benchmark_URLs!$A$2:$L$46,8,FALSE))</f>
        <v/>
      </c>
      <c r="K74" s="10" t="str">
        <f>IF($E74="","",VLOOKUP($E74,Benchmark_URLs!$A$2:$L$46,9,FALSE))</f>
        <v/>
      </c>
      <c r="L74" s="10" t="str">
        <f>IF($E74="","",VLOOKUP($E74,Benchmark_URLs!$A$2:$L$46,10,FALSE))</f>
        <v/>
      </c>
      <c r="M74" s="10" t="str">
        <f>IF($E74="","",VLOOKUP($E74,Benchmark_URLs!$A$2:$L$46,11,FALSE))</f>
        <v/>
      </c>
      <c r="N74" s="16"/>
      <c r="O74" s="16"/>
      <c r="P74" s="16"/>
      <c r="Q74" s="19"/>
      <c r="R74" s="19"/>
      <c r="S74" s="19"/>
      <c r="T74" s="16"/>
      <c r="U74" s="16"/>
      <c r="V74" s="16"/>
      <c r="W74" s="19"/>
      <c r="X74" s="19"/>
      <c r="Y74" s="20"/>
      <c r="Z74" s="20"/>
      <c r="AA74" s="10"/>
      <c r="AB74" s="10"/>
      <c r="AC74" s="15" t="str">
        <f t="shared" si="7"/>
        <v/>
      </c>
      <c r="AD74" s="15" t="str">
        <f t="shared" si="1"/>
        <v/>
      </c>
      <c r="AE74" s="16" t="str">
        <f t="shared" si="11"/>
        <v/>
      </c>
      <c r="AF74" s="16" t="str">
        <f>IF($E74="","",IF($H74="pdf",IFERROR(IF($X74&gt;=Weights!$B$10,1,0),0),1))</f>
        <v/>
      </c>
      <c r="AG74" s="16" t="str">
        <f t="shared" si="12"/>
        <v/>
      </c>
      <c r="AH74" s="15" t="str">
        <f>IF($E74="","",IFERROR((Weights!$B$2*$O74 + Weights!$B$3*$AE74 + Weights!$B$4*$AD74 + Weights!$B$5*(1-$AC74) + Weights!$B$6*$AF74 + Weights!$B$7*$AG74)/SUM(Weights!$B$2:$B$7),"" ))</f>
        <v/>
      </c>
      <c r="AI74" s="15" t="str">
        <f>IF($E74="","",IF($O74=0,0,IFERROR($AH74/MAX(Weights!$B$8,$Y74)/MAX(Weights!$B$9,IF($Z74="",0,$Z74)), "")))</f>
        <v/>
      </c>
      <c r="AJ74" s="17"/>
    </row>
    <row r="75" ht="15.75" customHeight="1">
      <c r="A75" s="10"/>
      <c r="B75" s="39"/>
      <c r="C75" s="10"/>
      <c r="D75" s="10"/>
      <c r="E75" s="10"/>
      <c r="F75" s="10" t="str">
        <f>IF($E75="","",VLOOKUP($E75,Benchmark_URLs!$A$2:$L$46,4,FALSE))</f>
        <v/>
      </c>
      <c r="G75" s="10"/>
      <c r="H75" s="10" t="str">
        <f>IF($E75="","",VLOOKUP($E75,Benchmark_URLs!$A$2:$L$46,6,FALSE))</f>
        <v/>
      </c>
      <c r="I75" s="10" t="str">
        <f>IF($E75="","",VLOOKUP($E75,Benchmark_URLs!$A$2:$L$46,7,FALSE))</f>
        <v/>
      </c>
      <c r="J75" s="10" t="str">
        <f>IF($E75="","",VLOOKUP($E75,Benchmark_URLs!$A$2:$L$46,8,FALSE))</f>
        <v/>
      </c>
      <c r="K75" s="10" t="str">
        <f>IF($E75="","",VLOOKUP($E75,Benchmark_URLs!$A$2:$L$46,9,FALSE))</f>
        <v/>
      </c>
      <c r="L75" s="10" t="str">
        <f>IF($E75="","",VLOOKUP($E75,Benchmark_URLs!$A$2:$L$46,10,FALSE))</f>
        <v/>
      </c>
      <c r="M75" s="10" t="str">
        <f>IF($E75="","",VLOOKUP($E75,Benchmark_URLs!$A$2:$L$46,11,FALSE))</f>
        <v/>
      </c>
      <c r="N75" s="16"/>
      <c r="O75" s="16"/>
      <c r="P75" s="16"/>
      <c r="Q75" s="19"/>
      <c r="R75" s="19"/>
      <c r="S75" s="19"/>
      <c r="T75" s="16"/>
      <c r="U75" s="16"/>
      <c r="V75" s="16"/>
      <c r="W75" s="19"/>
      <c r="X75" s="19"/>
      <c r="Y75" s="20"/>
      <c r="Z75" s="20"/>
      <c r="AA75" s="10"/>
      <c r="AB75" s="10"/>
      <c r="AC75" s="15" t="str">
        <f t="shared" si="7"/>
        <v/>
      </c>
      <c r="AD75" s="15" t="str">
        <f t="shared" si="1"/>
        <v/>
      </c>
      <c r="AE75" s="16" t="str">
        <f t="shared" si="11"/>
        <v/>
      </c>
      <c r="AF75" s="16" t="str">
        <f>IF($E75="","",IF($H75="pdf",IFERROR(IF($X75&gt;=Weights!$B$10,1,0),0),1))</f>
        <v/>
      </c>
      <c r="AG75" s="16" t="str">
        <f t="shared" si="12"/>
        <v/>
      </c>
      <c r="AH75" s="15" t="str">
        <f>IF($E75="","",IFERROR((Weights!$B$2*$O75 + Weights!$B$3*$AE75 + Weights!$B$4*$AD75 + Weights!$B$5*(1-$AC75) + Weights!$B$6*$AF75 + Weights!$B$7*$AG75)/SUM(Weights!$B$2:$B$7),"" ))</f>
        <v/>
      </c>
      <c r="AI75" s="15" t="str">
        <f>IF($E75="","",IF($O75=0,0,IFERROR($AH75/MAX(Weights!$B$8,$Y75)/MAX(Weights!$B$9,IF($Z75="",0,$Z75)), "")))</f>
        <v/>
      </c>
      <c r="AJ75" s="17"/>
    </row>
    <row r="76" ht="15.75" customHeight="1">
      <c r="A76" s="10"/>
      <c r="B76" s="39"/>
      <c r="C76" s="10"/>
      <c r="D76" s="10"/>
      <c r="E76" s="10"/>
      <c r="F76" s="10" t="str">
        <f>IF($E76="","",VLOOKUP($E76,Benchmark_URLs!$A$2:$L$46,4,FALSE))</f>
        <v/>
      </c>
      <c r="G76" s="10"/>
      <c r="H76" s="10" t="str">
        <f>IF($E76="","",VLOOKUP($E76,Benchmark_URLs!$A$2:$L$46,6,FALSE))</f>
        <v/>
      </c>
      <c r="I76" s="10" t="str">
        <f>IF($E76="","",VLOOKUP($E76,Benchmark_URLs!$A$2:$L$46,7,FALSE))</f>
        <v/>
      </c>
      <c r="J76" s="10" t="str">
        <f>IF($E76="","",VLOOKUP($E76,Benchmark_URLs!$A$2:$L$46,8,FALSE))</f>
        <v/>
      </c>
      <c r="K76" s="10" t="str">
        <f>IF($E76="","",VLOOKUP($E76,Benchmark_URLs!$A$2:$L$46,9,FALSE))</f>
        <v/>
      </c>
      <c r="L76" s="10" t="str">
        <f>IF($E76="","",VLOOKUP($E76,Benchmark_URLs!$A$2:$L$46,10,FALSE))</f>
        <v/>
      </c>
      <c r="M76" s="10" t="str">
        <f>IF($E76="","",VLOOKUP($E76,Benchmark_URLs!$A$2:$L$46,11,FALSE))</f>
        <v/>
      </c>
      <c r="N76" s="16"/>
      <c r="O76" s="16"/>
      <c r="P76" s="16"/>
      <c r="Q76" s="19"/>
      <c r="R76" s="19"/>
      <c r="S76" s="19"/>
      <c r="T76" s="16"/>
      <c r="U76" s="16"/>
      <c r="V76" s="16"/>
      <c r="W76" s="19"/>
      <c r="X76" s="19"/>
      <c r="Y76" s="20"/>
      <c r="Z76" s="20"/>
      <c r="AA76" s="10"/>
      <c r="AB76" s="10"/>
      <c r="AC76" s="15" t="str">
        <f t="shared" si="7"/>
        <v/>
      </c>
      <c r="AD76" s="15" t="str">
        <f t="shared" si="1"/>
        <v/>
      </c>
      <c r="AE76" s="16" t="str">
        <f t="shared" si="11"/>
        <v/>
      </c>
      <c r="AF76" s="16" t="str">
        <f>IF($E76="","",IF($H76="pdf",IFERROR(IF($X76&gt;=Weights!$B$10,1,0),0),1))</f>
        <v/>
      </c>
      <c r="AG76" s="16" t="str">
        <f t="shared" si="12"/>
        <v/>
      </c>
      <c r="AH76" s="15" t="str">
        <f>IF($E76="","",IFERROR((Weights!$B$2*$O76 + Weights!$B$3*$AE76 + Weights!$B$4*$AD76 + Weights!$B$5*(1-$AC76) + Weights!$B$6*$AF76 + Weights!$B$7*$AG76)/SUM(Weights!$B$2:$B$7),"" ))</f>
        <v/>
      </c>
      <c r="AI76" s="15" t="str">
        <f>IF($E76="","",IF($O76=0,0,IFERROR($AH76/MAX(Weights!$B$8,$Y76)/MAX(Weights!$B$9,IF($Z76="",0,$Z76)), "")))</f>
        <v/>
      </c>
      <c r="AJ76" s="17"/>
    </row>
    <row r="77" ht="15.75" customHeight="1">
      <c r="A77" s="10"/>
      <c r="B77" s="39"/>
      <c r="C77" s="10"/>
      <c r="D77" s="10"/>
      <c r="E77" s="10"/>
      <c r="F77" s="10" t="str">
        <f>IF($E77="","",VLOOKUP($E77,Benchmark_URLs!$A$2:$L$46,4,FALSE))</f>
        <v/>
      </c>
      <c r="G77" s="10"/>
      <c r="H77" s="10" t="str">
        <f>IF($E77="","",VLOOKUP($E77,Benchmark_URLs!$A$2:$L$46,6,FALSE))</f>
        <v/>
      </c>
      <c r="I77" s="10" t="str">
        <f>IF($E77="","",VLOOKUP($E77,Benchmark_URLs!$A$2:$L$46,7,FALSE))</f>
        <v/>
      </c>
      <c r="J77" s="10" t="str">
        <f>IF($E77="","",VLOOKUP($E77,Benchmark_URLs!$A$2:$L$46,8,FALSE))</f>
        <v/>
      </c>
      <c r="K77" s="10" t="str">
        <f>IF($E77="","",VLOOKUP($E77,Benchmark_URLs!$A$2:$L$46,9,FALSE))</f>
        <v/>
      </c>
      <c r="L77" s="10" t="str">
        <f>IF($E77="","",VLOOKUP($E77,Benchmark_URLs!$A$2:$L$46,10,FALSE))</f>
        <v/>
      </c>
      <c r="M77" s="10" t="str">
        <f>IF($E77="","",VLOOKUP($E77,Benchmark_URLs!$A$2:$L$46,11,FALSE))</f>
        <v/>
      </c>
      <c r="N77" s="16"/>
      <c r="O77" s="16"/>
      <c r="P77" s="16"/>
      <c r="Q77" s="19"/>
      <c r="R77" s="19"/>
      <c r="S77" s="19"/>
      <c r="T77" s="16"/>
      <c r="U77" s="16"/>
      <c r="V77" s="16"/>
      <c r="W77" s="19"/>
      <c r="X77" s="19"/>
      <c r="Y77" s="20"/>
      <c r="Z77" s="20"/>
      <c r="AA77" s="10"/>
      <c r="AB77" s="10"/>
      <c r="AC77" s="15" t="str">
        <f t="shared" si="7"/>
        <v/>
      </c>
      <c r="AD77" s="15" t="str">
        <f t="shared" si="1"/>
        <v/>
      </c>
      <c r="AE77" s="16" t="str">
        <f t="shared" si="11"/>
        <v/>
      </c>
      <c r="AF77" s="16" t="str">
        <f>IF($E77="","",IF($H77="pdf",IFERROR(IF($X77&gt;=Weights!$B$10,1,0),0),1))</f>
        <v/>
      </c>
      <c r="AG77" s="16" t="str">
        <f t="shared" si="12"/>
        <v/>
      </c>
      <c r="AH77" s="15" t="str">
        <f>IF($E77="","",IFERROR((Weights!$B$2*$O77 + Weights!$B$3*$AE77 + Weights!$B$4*$AD77 + Weights!$B$5*(1-$AC77) + Weights!$B$6*$AF77 + Weights!$B$7*$AG77)/SUM(Weights!$B$2:$B$7),"" ))</f>
        <v/>
      </c>
      <c r="AI77" s="15" t="str">
        <f>IF($E77="","",IF($O77=0,0,IFERROR($AH77/MAX(Weights!$B$8,$Y77)/MAX(Weights!$B$9,IF($Z77="",0,$Z77)), "")))</f>
        <v/>
      </c>
      <c r="AJ77" s="17"/>
    </row>
    <row r="78" ht="15.75" customHeight="1">
      <c r="A78" s="10"/>
      <c r="B78" s="39"/>
      <c r="C78" s="10"/>
      <c r="D78" s="10"/>
      <c r="E78" s="10"/>
      <c r="F78" s="10" t="str">
        <f>IF($E78="","",VLOOKUP($E78,Benchmark_URLs!$A$2:$L$46,4,FALSE))</f>
        <v/>
      </c>
      <c r="G78" s="10"/>
      <c r="H78" s="10" t="str">
        <f>IF($E78="","",VLOOKUP($E78,Benchmark_URLs!$A$2:$L$46,6,FALSE))</f>
        <v/>
      </c>
      <c r="I78" s="10" t="str">
        <f>IF($E78="","",VLOOKUP($E78,Benchmark_URLs!$A$2:$L$46,7,FALSE))</f>
        <v/>
      </c>
      <c r="J78" s="10" t="str">
        <f>IF($E78="","",VLOOKUP($E78,Benchmark_URLs!$A$2:$L$46,8,FALSE))</f>
        <v/>
      </c>
      <c r="K78" s="10" t="str">
        <f>IF($E78="","",VLOOKUP($E78,Benchmark_URLs!$A$2:$L$46,9,FALSE))</f>
        <v/>
      </c>
      <c r="L78" s="10" t="str">
        <f>IF($E78="","",VLOOKUP($E78,Benchmark_URLs!$A$2:$L$46,10,FALSE))</f>
        <v/>
      </c>
      <c r="M78" s="10" t="str">
        <f>IF($E78="","",VLOOKUP($E78,Benchmark_URLs!$A$2:$L$46,11,FALSE))</f>
        <v/>
      </c>
      <c r="N78" s="16"/>
      <c r="O78" s="16"/>
      <c r="P78" s="16"/>
      <c r="Q78" s="19"/>
      <c r="R78" s="19"/>
      <c r="S78" s="19"/>
      <c r="T78" s="16"/>
      <c r="U78" s="16"/>
      <c r="V78" s="16"/>
      <c r="W78" s="19"/>
      <c r="X78" s="19"/>
      <c r="Y78" s="20"/>
      <c r="Z78" s="20"/>
      <c r="AA78" s="10"/>
      <c r="AB78" s="10"/>
      <c r="AC78" s="15" t="str">
        <f t="shared" si="7"/>
        <v/>
      </c>
      <c r="AD78" s="15" t="str">
        <f t="shared" si="1"/>
        <v/>
      </c>
      <c r="AE78" s="16" t="str">
        <f t="shared" si="11"/>
        <v/>
      </c>
      <c r="AF78" s="16" t="str">
        <f>IF($E78="","",IF($H78="pdf",IFERROR(IF($X78&gt;=Weights!$B$10,1,0),0),1))</f>
        <v/>
      </c>
      <c r="AG78" s="16" t="str">
        <f t="shared" si="12"/>
        <v/>
      </c>
      <c r="AH78" s="15" t="str">
        <f>IF($E78="","",IFERROR((Weights!$B$2*$O78 + Weights!$B$3*$AE78 + Weights!$B$4*$AD78 + Weights!$B$5*(1-$AC78) + Weights!$B$6*$AF78 + Weights!$B$7*$AG78)/SUM(Weights!$B$2:$B$7),"" ))</f>
        <v/>
      </c>
      <c r="AI78" s="15" t="str">
        <f>IF($E78="","",IF($O78=0,0,IFERROR($AH78/MAX(Weights!$B$8,$Y78)/MAX(Weights!$B$9,IF($Z78="",0,$Z78)), "")))</f>
        <v/>
      </c>
      <c r="AJ78" s="17"/>
    </row>
    <row r="79" ht="15.75" customHeight="1">
      <c r="A79" s="10"/>
      <c r="B79" s="39"/>
      <c r="C79" s="10"/>
      <c r="D79" s="10"/>
      <c r="E79" s="10"/>
      <c r="F79" s="10" t="str">
        <f>IF($E79="","",VLOOKUP($E79,Benchmark_URLs!$A$2:$L$46,4,FALSE))</f>
        <v/>
      </c>
      <c r="G79" s="10"/>
      <c r="H79" s="10" t="str">
        <f>IF($E79="","",VLOOKUP($E79,Benchmark_URLs!$A$2:$L$46,6,FALSE))</f>
        <v/>
      </c>
      <c r="I79" s="10" t="str">
        <f>IF($E79="","",VLOOKUP($E79,Benchmark_URLs!$A$2:$L$46,7,FALSE))</f>
        <v/>
      </c>
      <c r="J79" s="10" t="str">
        <f>IF($E79="","",VLOOKUP($E79,Benchmark_URLs!$A$2:$L$46,8,FALSE))</f>
        <v/>
      </c>
      <c r="K79" s="10" t="str">
        <f>IF($E79="","",VLOOKUP($E79,Benchmark_URLs!$A$2:$L$46,9,FALSE))</f>
        <v/>
      </c>
      <c r="L79" s="10" t="str">
        <f>IF($E79="","",VLOOKUP($E79,Benchmark_URLs!$A$2:$L$46,10,FALSE))</f>
        <v/>
      </c>
      <c r="M79" s="10" t="str">
        <f>IF($E79="","",VLOOKUP($E79,Benchmark_URLs!$A$2:$L$46,11,FALSE))</f>
        <v/>
      </c>
      <c r="N79" s="16"/>
      <c r="O79" s="16"/>
      <c r="P79" s="16"/>
      <c r="Q79" s="19"/>
      <c r="R79" s="19"/>
      <c r="S79" s="19"/>
      <c r="T79" s="16"/>
      <c r="U79" s="16"/>
      <c r="V79" s="16"/>
      <c r="W79" s="19"/>
      <c r="X79" s="19"/>
      <c r="Y79" s="20"/>
      <c r="Z79" s="20"/>
      <c r="AA79" s="10"/>
      <c r="AB79" s="10"/>
      <c r="AC79" s="15" t="str">
        <f t="shared" si="7"/>
        <v/>
      </c>
      <c r="AD79" s="15" t="str">
        <f t="shared" si="1"/>
        <v/>
      </c>
      <c r="AE79" s="16" t="str">
        <f t="shared" si="11"/>
        <v/>
      </c>
      <c r="AF79" s="16" t="str">
        <f>IF($E79="","",IF($H79="pdf",IFERROR(IF($X79&gt;=Weights!$B$10,1,0),0),1))</f>
        <v/>
      </c>
      <c r="AG79" s="16" t="str">
        <f t="shared" si="12"/>
        <v/>
      </c>
      <c r="AH79" s="15" t="str">
        <f>IF($E79="","",IFERROR((Weights!$B$2*$O79 + Weights!$B$3*$AE79 + Weights!$B$4*$AD79 + Weights!$B$5*(1-$AC79) + Weights!$B$6*$AF79 + Weights!$B$7*$AG79)/SUM(Weights!$B$2:$B$7),"" ))</f>
        <v/>
      </c>
      <c r="AI79" s="15" t="str">
        <f>IF($E79="","",IF($O79=0,0,IFERROR($AH79/MAX(Weights!$B$8,$Y79)/MAX(Weights!$B$9,IF($Z79="",0,$Z79)), "")))</f>
        <v/>
      </c>
      <c r="AJ79" s="17"/>
    </row>
    <row r="80" ht="15.75" customHeight="1">
      <c r="A80" s="10"/>
      <c r="B80" s="39"/>
      <c r="C80" s="10"/>
      <c r="D80" s="10"/>
      <c r="E80" s="10"/>
      <c r="F80" s="10" t="str">
        <f>IF($E80="","",VLOOKUP($E80,Benchmark_URLs!$A$2:$L$46,4,FALSE))</f>
        <v/>
      </c>
      <c r="G80" s="10"/>
      <c r="H80" s="10" t="str">
        <f>IF($E80="","",VLOOKUP($E80,Benchmark_URLs!$A$2:$L$46,6,FALSE))</f>
        <v/>
      </c>
      <c r="I80" s="10" t="str">
        <f>IF($E80="","",VLOOKUP($E80,Benchmark_URLs!$A$2:$L$46,7,FALSE))</f>
        <v/>
      </c>
      <c r="J80" s="10" t="str">
        <f>IF($E80="","",VLOOKUP($E80,Benchmark_URLs!$A$2:$L$46,8,FALSE))</f>
        <v/>
      </c>
      <c r="K80" s="10" t="str">
        <f>IF($E80="","",VLOOKUP($E80,Benchmark_URLs!$A$2:$L$46,9,FALSE))</f>
        <v/>
      </c>
      <c r="L80" s="10" t="str">
        <f>IF($E80="","",VLOOKUP($E80,Benchmark_URLs!$A$2:$L$46,10,FALSE))</f>
        <v/>
      </c>
      <c r="M80" s="10" t="str">
        <f>IF($E80="","",VLOOKUP($E80,Benchmark_URLs!$A$2:$L$46,11,FALSE))</f>
        <v/>
      </c>
      <c r="N80" s="16"/>
      <c r="O80" s="16"/>
      <c r="P80" s="16"/>
      <c r="Q80" s="19"/>
      <c r="R80" s="19"/>
      <c r="S80" s="19"/>
      <c r="T80" s="16"/>
      <c r="U80" s="16"/>
      <c r="V80" s="16"/>
      <c r="W80" s="19"/>
      <c r="X80" s="19"/>
      <c r="Y80" s="20"/>
      <c r="Z80" s="20"/>
      <c r="AA80" s="10"/>
      <c r="AB80" s="10"/>
      <c r="AC80" s="15" t="str">
        <f t="shared" si="7"/>
        <v/>
      </c>
      <c r="AD80" s="15" t="str">
        <f t="shared" si="1"/>
        <v/>
      </c>
      <c r="AE80" s="16" t="str">
        <f t="shared" si="11"/>
        <v/>
      </c>
      <c r="AF80" s="16" t="str">
        <f>IF($E80="","",IF($H80="pdf",IFERROR(IF($X80&gt;=Weights!$B$10,1,0),0),1))</f>
        <v/>
      </c>
      <c r="AG80" s="16" t="str">
        <f t="shared" si="12"/>
        <v/>
      </c>
      <c r="AH80" s="15" t="str">
        <f>IF($E80="","",IFERROR((Weights!$B$2*$O80 + Weights!$B$3*$AE80 + Weights!$B$4*$AD80 + Weights!$B$5*(1-$AC80) + Weights!$B$6*$AF80 + Weights!$B$7*$AG80)/SUM(Weights!$B$2:$B$7),"" ))</f>
        <v/>
      </c>
      <c r="AI80" s="15" t="str">
        <f>IF($E80="","",IF($O80=0,0,IFERROR($AH80/MAX(Weights!$B$8,$Y80)/MAX(Weights!$B$9,IF($Z80="",0,$Z80)), "")))</f>
        <v/>
      </c>
      <c r="AJ80" s="17"/>
    </row>
    <row r="81" ht="15.75" customHeight="1">
      <c r="A81" s="10"/>
      <c r="B81" s="39"/>
      <c r="C81" s="10"/>
      <c r="D81" s="10"/>
      <c r="E81" s="10"/>
      <c r="F81" s="10" t="str">
        <f>IF($E81="","",VLOOKUP($E81,Benchmark_URLs!$A$2:$L$46,4,FALSE))</f>
        <v/>
      </c>
      <c r="G81" s="10"/>
      <c r="H81" s="10" t="str">
        <f>IF($E81="","",VLOOKUP($E81,Benchmark_URLs!$A$2:$L$46,6,FALSE))</f>
        <v/>
      </c>
      <c r="I81" s="10" t="str">
        <f>IF($E81="","",VLOOKUP($E81,Benchmark_URLs!$A$2:$L$46,7,FALSE))</f>
        <v/>
      </c>
      <c r="J81" s="10" t="str">
        <f>IF($E81="","",VLOOKUP($E81,Benchmark_URLs!$A$2:$L$46,8,FALSE))</f>
        <v/>
      </c>
      <c r="K81" s="10" t="str">
        <f>IF($E81="","",VLOOKUP($E81,Benchmark_URLs!$A$2:$L$46,9,FALSE))</f>
        <v/>
      </c>
      <c r="L81" s="10" t="str">
        <f>IF($E81="","",VLOOKUP($E81,Benchmark_URLs!$A$2:$L$46,10,FALSE))</f>
        <v/>
      </c>
      <c r="M81" s="10" t="str">
        <f>IF($E81="","",VLOOKUP($E81,Benchmark_URLs!$A$2:$L$46,11,FALSE))</f>
        <v/>
      </c>
      <c r="N81" s="16"/>
      <c r="O81" s="16"/>
      <c r="P81" s="16"/>
      <c r="Q81" s="19"/>
      <c r="R81" s="19"/>
      <c r="S81" s="19"/>
      <c r="T81" s="16"/>
      <c r="U81" s="16"/>
      <c r="V81" s="16"/>
      <c r="W81" s="19"/>
      <c r="X81" s="19"/>
      <c r="Y81" s="20"/>
      <c r="Z81" s="20"/>
      <c r="AA81" s="10"/>
      <c r="AB81" s="10"/>
      <c r="AC81" s="15" t="str">
        <f t="shared" si="7"/>
        <v/>
      </c>
      <c r="AD81" s="15" t="str">
        <f t="shared" si="1"/>
        <v/>
      </c>
      <c r="AE81" s="16" t="str">
        <f t="shared" si="11"/>
        <v/>
      </c>
      <c r="AF81" s="16" t="str">
        <f>IF($E81="","",IF($H81="pdf",IFERROR(IF($X81&gt;=Weights!$B$10,1,0),0),1))</f>
        <v/>
      </c>
      <c r="AG81" s="16" t="str">
        <f t="shared" si="12"/>
        <v/>
      </c>
      <c r="AH81" s="15" t="str">
        <f>IF($E81="","",IFERROR((Weights!$B$2*$O81 + Weights!$B$3*$AE81 + Weights!$B$4*$AD81 + Weights!$B$5*(1-$AC81) + Weights!$B$6*$AF81 + Weights!$B$7*$AG81)/SUM(Weights!$B$2:$B$7),"" ))</f>
        <v/>
      </c>
      <c r="AI81" s="15" t="str">
        <f>IF($E81="","",IF($O81=0,0,IFERROR($AH81/MAX(Weights!$B$8,$Y81)/MAX(Weights!$B$9,IF($Z81="",0,$Z81)), "")))</f>
        <v/>
      </c>
      <c r="AJ81" s="17"/>
    </row>
    <row r="82" ht="15.75" customHeight="1">
      <c r="A82" s="10"/>
      <c r="B82" s="39"/>
      <c r="C82" s="10"/>
      <c r="D82" s="10"/>
      <c r="E82" s="10"/>
      <c r="F82" s="10" t="str">
        <f>IF($E82="","",VLOOKUP($E82,Benchmark_URLs!$A$2:$L$46,4,FALSE))</f>
        <v/>
      </c>
      <c r="G82" s="10"/>
      <c r="H82" s="10" t="str">
        <f>IF($E82="","",VLOOKUP($E82,Benchmark_URLs!$A$2:$L$46,6,FALSE))</f>
        <v/>
      </c>
      <c r="I82" s="10" t="str">
        <f>IF($E82="","",VLOOKUP($E82,Benchmark_URLs!$A$2:$L$46,7,FALSE))</f>
        <v/>
      </c>
      <c r="J82" s="10" t="str">
        <f>IF($E82="","",VLOOKUP($E82,Benchmark_URLs!$A$2:$L$46,8,FALSE))</f>
        <v/>
      </c>
      <c r="K82" s="10" t="str">
        <f>IF($E82="","",VLOOKUP($E82,Benchmark_URLs!$A$2:$L$46,9,FALSE))</f>
        <v/>
      </c>
      <c r="L82" s="10" t="str">
        <f>IF($E82="","",VLOOKUP($E82,Benchmark_URLs!$A$2:$L$46,10,FALSE))</f>
        <v/>
      </c>
      <c r="M82" s="10" t="str">
        <f>IF($E82="","",VLOOKUP($E82,Benchmark_URLs!$A$2:$L$46,11,FALSE))</f>
        <v/>
      </c>
      <c r="N82" s="16"/>
      <c r="O82" s="16"/>
      <c r="P82" s="16"/>
      <c r="Q82" s="19"/>
      <c r="R82" s="19"/>
      <c r="S82" s="19"/>
      <c r="T82" s="16"/>
      <c r="U82" s="16"/>
      <c r="V82" s="16"/>
      <c r="W82" s="19"/>
      <c r="X82" s="19"/>
      <c r="Y82" s="20"/>
      <c r="Z82" s="20"/>
      <c r="AA82" s="10"/>
      <c r="AB82" s="10"/>
      <c r="AC82" s="15" t="str">
        <f t="shared" si="7"/>
        <v/>
      </c>
      <c r="AD82" s="15" t="str">
        <f t="shared" si="1"/>
        <v/>
      </c>
      <c r="AE82" s="16" t="str">
        <f t="shared" si="11"/>
        <v/>
      </c>
      <c r="AF82" s="16" t="str">
        <f>IF($E82="","",IF($H82="pdf",IFERROR(IF($X82&gt;=Weights!$B$10,1,0),0),1))</f>
        <v/>
      </c>
      <c r="AG82" s="16" t="str">
        <f t="shared" si="12"/>
        <v/>
      </c>
      <c r="AH82" s="15" t="str">
        <f>IF($E82="","",IFERROR((Weights!$B$2*$O82 + Weights!$B$3*$AE82 + Weights!$B$4*$AD82 + Weights!$B$5*(1-$AC82) + Weights!$B$6*$AF82 + Weights!$B$7*$AG82)/SUM(Weights!$B$2:$B$7),"" ))</f>
        <v/>
      </c>
      <c r="AI82" s="15" t="str">
        <f>IF($E82="","",IF($O82=0,0,IFERROR($AH82/MAX(Weights!$B$8,$Y82)/MAX(Weights!$B$9,IF($Z82="",0,$Z82)), "")))</f>
        <v/>
      </c>
      <c r="AJ82" s="17"/>
    </row>
    <row r="83" ht="15.75" customHeight="1">
      <c r="A83" s="10"/>
      <c r="B83" s="39"/>
      <c r="C83" s="10"/>
      <c r="D83" s="10"/>
      <c r="E83" s="10"/>
      <c r="F83" s="10" t="str">
        <f>IF($E83="","",VLOOKUP($E83,Benchmark_URLs!$A$2:$L$46,4,FALSE))</f>
        <v/>
      </c>
      <c r="G83" s="10"/>
      <c r="H83" s="10" t="str">
        <f>IF($E83="","",VLOOKUP($E83,Benchmark_URLs!$A$2:$L$46,6,FALSE))</f>
        <v/>
      </c>
      <c r="I83" s="10" t="str">
        <f>IF($E83="","",VLOOKUP($E83,Benchmark_URLs!$A$2:$L$46,7,FALSE))</f>
        <v/>
      </c>
      <c r="J83" s="10" t="str">
        <f>IF($E83="","",VLOOKUP($E83,Benchmark_URLs!$A$2:$L$46,8,FALSE))</f>
        <v/>
      </c>
      <c r="K83" s="10" t="str">
        <f>IF($E83="","",VLOOKUP($E83,Benchmark_URLs!$A$2:$L$46,9,FALSE))</f>
        <v/>
      </c>
      <c r="L83" s="10" t="str">
        <f>IF($E83="","",VLOOKUP($E83,Benchmark_URLs!$A$2:$L$46,10,FALSE))</f>
        <v/>
      </c>
      <c r="M83" s="10" t="str">
        <f>IF($E83="","",VLOOKUP($E83,Benchmark_URLs!$A$2:$L$46,11,FALSE))</f>
        <v/>
      </c>
      <c r="N83" s="16"/>
      <c r="O83" s="16"/>
      <c r="P83" s="16"/>
      <c r="Q83" s="19"/>
      <c r="R83" s="19"/>
      <c r="S83" s="19"/>
      <c r="T83" s="16"/>
      <c r="U83" s="16"/>
      <c r="V83" s="16"/>
      <c r="W83" s="19"/>
      <c r="X83" s="19"/>
      <c r="Y83" s="20"/>
      <c r="Z83" s="20"/>
      <c r="AA83" s="10"/>
      <c r="AB83" s="10"/>
      <c r="AC83" s="15" t="str">
        <f t="shared" si="7"/>
        <v/>
      </c>
      <c r="AD83" s="15" t="str">
        <f t="shared" si="1"/>
        <v/>
      </c>
      <c r="AE83" s="16" t="str">
        <f t="shared" si="11"/>
        <v/>
      </c>
      <c r="AF83" s="16" t="str">
        <f>IF($E83="","",IF($H83="pdf",IFERROR(IF($X83&gt;=Weights!$B$10,1,0),0),1))</f>
        <v/>
      </c>
      <c r="AG83" s="16" t="str">
        <f t="shared" si="12"/>
        <v/>
      </c>
      <c r="AH83" s="15" t="str">
        <f>IF($E83="","",IFERROR((Weights!$B$2*$O83 + Weights!$B$3*$AE83 + Weights!$B$4*$AD83 + Weights!$B$5*(1-$AC83) + Weights!$B$6*$AF83 + Weights!$B$7*$AG83)/SUM(Weights!$B$2:$B$7),"" ))</f>
        <v/>
      </c>
      <c r="AI83" s="15" t="str">
        <f>IF($E83="","",IF($O83=0,0,IFERROR($AH83/MAX(Weights!$B$8,$Y83)/MAX(Weights!$B$9,IF($Z83="",0,$Z83)), "")))</f>
        <v/>
      </c>
      <c r="AJ83" s="17"/>
    </row>
    <row r="84" ht="15.75" customHeight="1">
      <c r="A84" s="10"/>
      <c r="B84" s="39"/>
      <c r="C84" s="10"/>
      <c r="D84" s="10"/>
      <c r="E84" s="10"/>
      <c r="F84" s="10" t="str">
        <f>IF($E84="","",VLOOKUP($E84,Benchmark_URLs!$A$2:$L$46,4,FALSE))</f>
        <v/>
      </c>
      <c r="G84" s="10"/>
      <c r="H84" s="10" t="str">
        <f>IF($E84="","",VLOOKUP($E84,Benchmark_URLs!$A$2:$L$46,6,FALSE))</f>
        <v/>
      </c>
      <c r="I84" s="10" t="str">
        <f>IF($E84="","",VLOOKUP($E84,Benchmark_URLs!$A$2:$L$46,7,FALSE))</f>
        <v/>
      </c>
      <c r="J84" s="10" t="str">
        <f>IF($E84="","",VLOOKUP($E84,Benchmark_URLs!$A$2:$L$46,8,FALSE))</f>
        <v/>
      </c>
      <c r="K84" s="10" t="str">
        <f>IF($E84="","",VLOOKUP($E84,Benchmark_URLs!$A$2:$L$46,9,FALSE))</f>
        <v/>
      </c>
      <c r="L84" s="10" t="str">
        <f>IF($E84="","",VLOOKUP($E84,Benchmark_URLs!$A$2:$L$46,10,FALSE))</f>
        <v/>
      </c>
      <c r="M84" s="10" t="str">
        <f>IF($E84="","",VLOOKUP($E84,Benchmark_URLs!$A$2:$L$46,11,FALSE))</f>
        <v/>
      </c>
      <c r="N84" s="16"/>
      <c r="O84" s="16"/>
      <c r="P84" s="16"/>
      <c r="Q84" s="19"/>
      <c r="R84" s="19"/>
      <c r="S84" s="19"/>
      <c r="T84" s="16"/>
      <c r="U84" s="16"/>
      <c r="V84" s="16"/>
      <c r="W84" s="19"/>
      <c r="X84" s="19"/>
      <c r="Y84" s="20"/>
      <c r="Z84" s="20"/>
      <c r="AA84" s="10"/>
      <c r="AB84" s="10"/>
      <c r="AC84" s="15" t="str">
        <f t="shared" si="7"/>
        <v/>
      </c>
      <c r="AD84" s="15" t="str">
        <f t="shared" si="1"/>
        <v/>
      </c>
      <c r="AE84" s="16" t="str">
        <f t="shared" si="11"/>
        <v/>
      </c>
      <c r="AF84" s="16" t="str">
        <f>IF($E84="","",IF($H84="pdf",IFERROR(IF($X84&gt;=Weights!$B$10,1,0),0),1))</f>
        <v/>
      </c>
      <c r="AG84" s="16" t="str">
        <f t="shared" si="12"/>
        <v/>
      </c>
      <c r="AH84" s="15" t="str">
        <f>IF($E84="","",IFERROR((Weights!$B$2*$O84 + Weights!$B$3*$AE84 + Weights!$B$4*$AD84 + Weights!$B$5*(1-$AC84) + Weights!$B$6*$AF84 + Weights!$B$7*$AG84)/SUM(Weights!$B$2:$B$7),"" ))</f>
        <v/>
      </c>
      <c r="AI84" s="15" t="str">
        <f>IF($E84="","",IF($O84=0,0,IFERROR($AH84/MAX(Weights!$B$8,$Y84)/MAX(Weights!$B$9,IF($Z84="",0,$Z84)), "")))</f>
        <v/>
      </c>
      <c r="AJ84" s="17"/>
    </row>
    <row r="85" ht="15.75" customHeight="1">
      <c r="A85" s="10"/>
      <c r="B85" s="39"/>
      <c r="C85" s="10"/>
      <c r="D85" s="10"/>
      <c r="E85" s="10"/>
      <c r="F85" s="10" t="str">
        <f>IF($E85="","",VLOOKUP($E85,Benchmark_URLs!$A$2:$L$46,4,FALSE))</f>
        <v/>
      </c>
      <c r="G85" s="10"/>
      <c r="H85" s="10" t="str">
        <f>IF($E85="","",VLOOKUP($E85,Benchmark_URLs!$A$2:$L$46,6,FALSE))</f>
        <v/>
      </c>
      <c r="I85" s="10" t="str">
        <f>IF($E85="","",VLOOKUP($E85,Benchmark_URLs!$A$2:$L$46,7,FALSE))</f>
        <v/>
      </c>
      <c r="J85" s="10" t="str">
        <f>IF($E85="","",VLOOKUP($E85,Benchmark_URLs!$A$2:$L$46,8,FALSE))</f>
        <v/>
      </c>
      <c r="K85" s="10" t="str">
        <f>IF($E85="","",VLOOKUP($E85,Benchmark_URLs!$A$2:$L$46,9,FALSE))</f>
        <v/>
      </c>
      <c r="L85" s="10" t="str">
        <f>IF($E85="","",VLOOKUP($E85,Benchmark_URLs!$A$2:$L$46,10,FALSE))</f>
        <v/>
      </c>
      <c r="M85" s="10" t="str">
        <f>IF($E85="","",VLOOKUP($E85,Benchmark_URLs!$A$2:$L$46,11,FALSE))</f>
        <v/>
      </c>
      <c r="N85" s="16"/>
      <c r="O85" s="16"/>
      <c r="P85" s="16"/>
      <c r="Q85" s="19"/>
      <c r="R85" s="19"/>
      <c r="S85" s="19"/>
      <c r="T85" s="16"/>
      <c r="U85" s="16"/>
      <c r="V85" s="16"/>
      <c r="W85" s="19"/>
      <c r="X85" s="19"/>
      <c r="Y85" s="20"/>
      <c r="Z85" s="20"/>
      <c r="AA85" s="10"/>
      <c r="AB85" s="10"/>
      <c r="AC85" s="15" t="str">
        <f t="shared" si="7"/>
        <v/>
      </c>
      <c r="AD85" s="15" t="str">
        <f t="shared" si="1"/>
        <v/>
      </c>
      <c r="AE85" s="16" t="str">
        <f t="shared" si="11"/>
        <v/>
      </c>
      <c r="AF85" s="16" t="str">
        <f>IF($E85="","",IF($H85="pdf",IFERROR(IF($X85&gt;=Weights!$B$10,1,0),0),1))</f>
        <v/>
      </c>
      <c r="AG85" s="16" t="str">
        <f t="shared" si="12"/>
        <v/>
      </c>
      <c r="AH85" s="15" t="str">
        <f>IF($E85="","",IFERROR((Weights!$B$2*$O85 + Weights!$B$3*$AE85 + Weights!$B$4*$AD85 + Weights!$B$5*(1-$AC85) + Weights!$B$6*$AF85 + Weights!$B$7*$AG85)/SUM(Weights!$B$2:$B$7),"" ))</f>
        <v/>
      </c>
      <c r="AI85" s="15" t="str">
        <f>IF($E85="","",IF($O85=0,0,IFERROR($AH85/MAX(Weights!$B$8,$Y85)/MAX(Weights!$B$9,IF($Z85="",0,$Z85)), "")))</f>
        <v/>
      </c>
      <c r="AJ85" s="17"/>
    </row>
    <row r="86" ht="15.75" customHeight="1">
      <c r="A86" s="10"/>
      <c r="B86" s="39"/>
      <c r="C86" s="10"/>
      <c r="D86" s="10"/>
      <c r="E86" s="10"/>
      <c r="F86" s="10" t="str">
        <f>IF($E86="","",VLOOKUP($E86,Benchmark_URLs!$A$2:$L$46,4,FALSE))</f>
        <v/>
      </c>
      <c r="G86" s="10"/>
      <c r="H86" s="10" t="str">
        <f>IF($E86="","",VLOOKUP($E86,Benchmark_URLs!$A$2:$L$46,6,FALSE))</f>
        <v/>
      </c>
      <c r="I86" s="10" t="str">
        <f>IF($E86="","",VLOOKUP($E86,Benchmark_URLs!$A$2:$L$46,7,FALSE))</f>
        <v/>
      </c>
      <c r="J86" s="10" t="str">
        <f>IF($E86="","",VLOOKUP($E86,Benchmark_URLs!$A$2:$L$46,8,FALSE))</f>
        <v/>
      </c>
      <c r="K86" s="10" t="str">
        <f>IF($E86="","",VLOOKUP($E86,Benchmark_URLs!$A$2:$L$46,9,FALSE))</f>
        <v/>
      </c>
      <c r="L86" s="10" t="str">
        <f>IF($E86="","",VLOOKUP($E86,Benchmark_URLs!$A$2:$L$46,10,FALSE))</f>
        <v/>
      </c>
      <c r="M86" s="10" t="str">
        <f>IF($E86="","",VLOOKUP($E86,Benchmark_URLs!$A$2:$L$46,11,FALSE))</f>
        <v/>
      </c>
      <c r="N86" s="16"/>
      <c r="O86" s="16"/>
      <c r="P86" s="16"/>
      <c r="Q86" s="19"/>
      <c r="R86" s="19"/>
      <c r="S86" s="19"/>
      <c r="T86" s="16"/>
      <c r="U86" s="16"/>
      <c r="V86" s="16"/>
      <c r="W86" s="19"/>
      <c r="X86" s="19"/>
      <c r="Y86" s="20"/>
      <c r="Z86" s="20"/>
      <c r="AA86" s="10"/>
      <c r="AB86" s="10"/>
      <c r="AC86" s="15" t="str">
        <f t="shared" si="7"/>
        <v/>
      </c>
      <c r="AD86" s="15" t="str">
        <f t="shared" si="1"/>
        <v/>
      </c>
      <c r="AE86" s="16" t="str">
        <f t="shared" si="11"/>
        <v/>
      </c>
      <c r="AF86" s="16" t="str">
        <f>IF($E86="","",IF($H86="pdf",IFERROR(IF($X86&gt;=Weights!$B$10,1,0),0),1))</f>
        <v/>
      </c>
      <c r="AG86" s="16" t="str">
        <f t="shared" si="12"/>
        <v/>
      </c>
      <c r="AH86" s="15" t="str">
        <f>IF($E86="","",IFERROR((Weights!$B$2*$O86 + Weights!$B$3*$AE86 + Weights!$B$4*$AD86 + Weights!$B$5*(1-$AC86) + Weights!$B$6*$AF86 + Weights!$B$7*$AG86)/SUM(Weights!$B$2:$B$7),"" ))</f>
        <v/>
      </c>
      <c r="AI86" s="15" t="str">
        <f>IF($E86="","",IF($O86=0,0,IFERROR($AH86/MAX(Weights!$B$8,$Y86)/MAX(Weights!$B$9,IF($Z86="",0,$Z86)), "")))</f>
        <v/>
      </c>
      <c r="AJ86" s="17"/>
    </row>
    <row r="87" ht="15.75" customHeight="1">
      <c r="A87" s="10"/>
      <c r="B87" s="39"/>
      <c r="C87" s="10"/>
      <c r="D87" s="10"/>
      <c r="E87" s="10"/>
      <c r="F87" s="10" t="str">
        <f>IF($E87="","",VLOOKUP($E87,Benchmark_URLs!$A$2:$L$46,4,FALSE))</f>
        <v/>
      </c>
      <c r="G87" s="10"/>
      <c r="H87" s="10" t="str">
        <f>IF($E87="","",VLOOKUP($E87,Benchmark_URLs!$A$2:$L$46,6,FALSE))</f>
        <v/>
      </c>
      <c r="I87" s="10" t="str">
        <f>IF($E87="","",VLOOKUP($E87,Benchmark_URLs!$A$2:$L$46,7,FALSE))</f>
        <v/>
      </c>
      <c r="J87" s="10" t="str">
        <f>IF($E87="","",VLOOKUP($E87,Benchmark_URLs!$A$2:$L$46,8,FALSE))</f>
        <v/>
      </c>
      <c r="K87" s="10" t="str">
        <f>IF($E87="","",VLOOKUP($E87,Benchmark_URLs!$A$2:$L$46,9,FALSE))</f>
        <v/>
      </c>
      <c r="L87" s="10" t="str">
        <f>IF($E87="","",VLOOKUP($E87,Benchmark_URLs!$A$2:$L$46,10,FALSE))</f>
        <v/>
      </c>
      <c r="M87" s="10" t="str">
        <f>IF($E87="","",VLOOKUP($E87,Benchmark_URLs!$A$2:$L$46,11,FALSE))</f>
        <v/>
      </c>
      <c r="N87" s="16"/>
      <c r="O87" s="16"/>
      <c r="P87" s="16"/>
      <c r="Q87" s="19"/>
      <c r="R87" s="19"/>
      <c r="S87" s="19"/>
      <c r="T87" s="16"/>
      <c r="U87" s="16"/>
      <c r="V87" s="16"/>
      <c r="W87" s="19"/>
      <c r="X87" s="19"/>
      <c r="Y87" s="20"/>
      <c r="Z87" s="20"/>
      <c r="AA87" s="10"/>
      <c r="AB87" s="10"/>
      <c r="AC87" s="15" t="str">
        <f t="shared" si="7"/>
        <v/>
      </c>
      <c r="AD87" s="15" t="str">
        <f t="shared" si="1"/>
        <v/>
      </c>
      <c r="AE87" s="16" t="str">
        <f t="shared" si="11"/>
        <v/>
      </c>
      <c r="AF87" s="16" t="str">
        <f>IF($E87="","",IF($H87="pdf",IFERROR(IF($X87&gt;=Weights!$B$10,1,0),0),1))</f>
        <v/>
      </c>
      <c r="AG87" s="16" t="str">
        <f t="shared" si="12"/>
        <v/>
      </c>
      <c r="AH87" s="15" t="str">
        <f>IF($E87="","",IFERROR((Weights!$B$2*$O87 + Weights!$B$3*$AE87 + Weights!$B$4*$AD87 + Weights!$B$5*(1-$AC87) + Weights!$B$6*$AF87 + Weights!$B$7*$AG87)/SUM(Weights!$B$2:$B$7),"" ))</f>
        <v/>
      </c>
      <c r="AI87" s="15" t="str">
        <f>IF($E87="","",IF($O87=0,0,IFERROR($AH87/MAX(Weights!$B$8,$Y87)/MAX(Weights!$B$9,IF($Z87="",0,$Z87)), "")))</f>
        <v/>
      </c>
      <c r="AJ87" s="17"/>
    </row>
    <row r="88" ht="15.75" customHeight="1">
      <c r="A88" s="10"/>
      <c r="B88" s="39"/>
      <c r="C88" s="10"/>
      <c r="D88" s="10"/>
      <c r="E88" s="10"/>
      <c r="F88" s="10" t="str">
        <f>IF($E88="","",VLOOKUP($E88,Benchmark_URLs!$A$2:$L$46,4,FALSE))</f>
        <v/>
      </c>
      <c r="G88" s="10"/>
      <c r="H88" s="10" t="str">
        <f>IF($E88="","",VLOOKUP($E88,Benchmark_URLs!$A$2:$L$46,6,FALSE))</f>
        <v/>
      </c>
      <c r="I88" s="10" t="str">
        <f>IF($E88="","",VLOOKUP($E88,Benchmark_URLs!$A$2:$L$46,7,FALSE))</f>
        <v/>
      </c>
      <c r="J88" s="10" t="str">
        <f>IF($E88="","",VLOOKUP($E88,Benchmark_URLs!$A$2:$L$46,8,FALSE))</f>
        <v/>
      </c>
      <c r="K88" s="10" t="str">
        <f>IF($E88="","",VLOOKUP($E88,Benchmark_URLs!$A$2:$L$46,9,FALSE))</f>
        <v/>
      </c>
      <c r="L88" s="10" t="str">
        <f>IF($E88="","",VLOOKUP($E88,Benchmark_URLs!$A$2:$L$46,10,FALSE))</f>
        <v/>
      </c>
      <c r="M88" s="10" t="str">
        <f>IF($E88="","",VLOOKUP($E88,Benchmark_URLs!$A$2:$L$46,11,FALSE))</f>
        <v/>
      </c>
      <c r="N88" s="16"/>
      <c r="O88" s="16"/>
      <c r="P88" s="16"/>
      <c r="Q88" s="19"/>
      <c r="R88" s="19"/>
      <c r="S88" s="19"/>
      <c r="T88" s="16"/>
      <c r="U88" s="16"/>
      <c r="V88" s="16"/>
      <c r="W88" s="19"/>
      <c r="X88" s="19"/>
      <c r="Y88" s="20"/>
      <c r="Z88" s="20"/>
      <c r="AA88" s="10"/>
      <c r="AB88" s="10"/>
      <c r="AC88" s="15" t="str">
        <f t="shared" si="7"/>
        <v/>
      </c>
      <c r="AD88" s="15" t="str">
        <f t="shared" si="1"/>
        <v/>
      </c>
      <c r="AE88" s="16" t="str">
        <f t="shared" si="11"/>
        <v/>
      </c>
      <c r="AF88" s="16" t="str">
        <f>IF($E88="","",IF($H88="pdf",IFERROR(IF($X88&gt;=Weights!$B$10,1,0),0),1))</f>
        <v/>
      </c>
      <c r="AG88" s="16" t="str">
        <f t="shared" si="12"/>
        <v/>
      </c>
      <c r="AH88" s="15" t="str">
        <f>IF($E88="","",IFERROR((Weights!$B$2*$O88 + Weights!$B$3*$AE88 + Weights!$B$4*$AD88 + Weights!$B$5*(1-$AC88) + Weights!$B$6*$AF88 + Weights!$B$7*$AG88)/SUM(Weights!$B$2:$B$7),"" ))</f>
        <v/>
      </c>
      <c r="AI88" s="15" t="str">
        <f>IF($E88="","",IF($O88=0,0,IFERROR($AH88/MAX(Weights!$B$8,$Y88)/MAX(Weights!$B$9,IF($Z88="",0,$Z88)), "")))</f>
        <v/>
      </c>
      <c r="AJ88" s="17"/>
    </row>
    <row r="89" ht="15.75" customHeight="1">
      <c r="A89" s="10"/>
      <c r="B89" s="39"/>
      <c r="C89" s="10"/>
      <c r="D89" s="10"/>
      <c r="E89" s="10"/>
      <c r="F89" s="10" t="str">
        <f>IF($E89="","",VLOOKUP($E89,Benchmark_URLs!$A$2:$L$46,4,FALSE))</f>
        <v/>
      </c>
      <c r="G89" s="10"/>
      <c r="H89" s="10" t="str">
        <f>IF($E89="","",VLOOKUP($E89,Benchmark_URLs!$A$2:$L$46,6,FALSE))</f>
        <v/>
      </c>
      <c r="I89" s="10" t="str">
        <f>IF($E89="","",VLOOKUP($E89,Benchmark_URLs!$A$2:$L$46,7,FALSE))</f>
        <v/>
      </c>
      <c r="J89" s="10" t="str">
        <f>IF($E89="","",VLOOKUP($E89,Benchmark_URLs!$A$2:$L$46,8,FALSE))</f>
        <v/>
      </c>
      <c r="K89" s="10" t="str">
        <f>IF($E89="","",VLOOKUP($E89,Benchmark_URLs!$A$2:$L$46,9,FALSE))</f>
        <v/>
      </c>
      <c r="L89" s="10" t="str">
        <f>IF($E89="","",VLOOKUP($E89,Benchmark_URLs!$A$2:$L$46,10,FALSE))</f>
        <v/>
      </c>
      <c r="M89" s="10" t="str">
        <f>IF($E89="","",VLOOKUP($E89,Benchmark_URLs!$A$2:$L$46,11,FALSE))</f>
        <v/>
      </c>
      <c r="N89" s="16"/>
      <c r="O89" s="16"/>
      <c r="P89" s="16"/>
      <c r="Q89" s="19"/>
      <c r="R89" s="19"/>
      <c r="S89" s="19"/>
      <c r="T89" s="16"/>
      <c r="U89" s="16"/>
      <c r="V89" s="16"/>
      <c r="W89" s="19"/>
      <c r="X89" s="19"/>
      <c r="Y89" s="20"/>
      <c r="Z89" s="20"/>
      <c r="AA89" s="10"/>
      <c r="AB89" s="10"/>
      <c r="AC89" s="15" t="str">
        <f t="shared" si="7"/>
        <v/>
      </c>
      <c r="AD89" s="15" t="str">
        <f t="shared" si="1"/>
        <v/>
      </c>
      <c r="AE89" s="16" t="str">
        <f t="shared" si="11"/>
        <v/>
      </c>
      <c r="AF89" s="16" t="str">
        <f>IF($E89="","",IF($H89="pdf",IFERROR(IF($X89&gt;=Weights!$B$10,1,0),0),1))</f>
        <v/>
      </c>
      <c r="AG89" s="16" t="str">
        <f t="shared" si="12"/>
        <v/>
      </c>
      <c r="AH89" s="15" t="str">
        <f>IF($E89="","",IFERROR((Weights!$B$2*$O89 + Weights!$B$3*$AE89 + Weights!$B$4*$AD89 + Weights!$B$5*(1-$AC89) + Weights!$B$6*$AF89 + Weights!$B$7*$AG89)/SUM(Weights!$B$2:$B$7),"" ))</f>
        <v/>
      </c>
      <c r="AI89" s="15" t="str">
        <f>IF($E89="","",IF($O89=0,0,IFERROR($AH89/MAX(Weights!$B$8,$Y89)/MAX(Weights!$B$9,IF($Z89="",0,$Z89)), "")))</f>
        <v/>
      </c>
      <c r="AJ89" s="17"/>
    </row>
    <row r="90" ht="15.75" customHeight="1">
      <c r="A90" s="10"/>
      <c r="B90" s="39"/>
      <c r="C90" s="10"/>
      <c r="D90" s="10"/>
      <c r="E90" s="10"/>
      <c r="F90" s="10" t="str">
        <f>IF($E90="","",VLOOKUP($E90,Benchmark_URLs!$A$2:$L$46,4,FALSE))</f>
        <v/>
      </c>
      <c r="G90" s="10"/>
      <c r="H90" s="10" t="str">
        <f>IF($E90="","",VLOOKUP($E90,Benchmark_URLs!$A$2:$L$46,6,FALSE))</f>
        <v/>
      </c>
      <c r="I90" s="10" t="str">
        <f>IF($E90="","",VLOOKUP($E90,Benchmark_URLs!$A$2:$L$46,7,FALSE))</f>
        <v/>
      </c>
      <c r="J90" s="10" t="str">
        <f>IF($E90="","",VLOOKUP($E90,Benchmark_URLs!$A$2:$L$46,8,FALSE))</f>
        <v/>
      </c>
      <c r="K90" s="10" t="str">
        <f>IF($E90="","",VLOOKUP($E90,Benchmark_URLs!$A$2:$L$46,9,FALSE))</f>
        <v/>
      </c>
      <c r="L90" s="10" t="str">
        <f>IF($E90="","",VLOOKUP($E90,Benchmark_URLs!$A$2:$L$46,10,FALSE))</f>
        <v/>
      </c>
      <c r="M90" s="10" t="str">
        <f>IF($E90="","",VLOOKUP($E90,Benchmark_URLs!$A$2:$L$46,11,FALSE))</f>
        <v/>
      </c>
      <c r="N90" s="16"/>
      <c r="O90" s="16"/>
      <c r="P90" s="16"/>
      <c r="Q90" s="19"/>
      <c r="R90" s="19"/>
      <c r="S90" s="19"/>
      <c r="T90" s="16"/>
      <c r="U90" s="16"/>
      <c r="V90" s="16"/>
      <c r="W90" s="19"/>
      <c r="X90" s="19"/>
      <c r="Y90" s="20"/>
      <c r="Z90" s="20"/>
      <c r="AA90" s="10"/>
      <c r="AB90" s="10"/>
      <c r="AC90" s="15" t="str">
        <f t="shared" si="7"/>
        <v/>
      </c>
      <c r="AD90" s="15" t="str">
        <f t="shared" si="1"/>
        <v/>
      </c>
      <c r="AE90" s="16" t="str">
        <f t="shared" si="11"/>
        <v/>
      </c>
      <c r="AF90" s="16" t="str">
        <f>IF($E90="","",IF($H90="pdf",IFERROR(IF($X90&gt;=Weights!$B$10,1,0),0),1))</f>
        <v/>
      </c>
      <c r="AG90" s="16" t="str">
        <f t="shared" si="12"/>
        <v/>
      </c>
      <c r="AH90" s="15" t="str">
        <f>IF($E90="","",IFERROR((Weights!$B$2*$O90 + Weights!$B$3*$AE90 + Weights!$B$4*$AD90 + Weights!$B$5*(1-$AC90) + Weights!$B$6*$AF90 + Weights!$B$7*$AG90)/SUM(Weights!$B$2:$B$7),"" ))</f>
        <v/>
      </c>
      <c r="AI90" s="15" t="str">
        <f>IF($E90="","",IF($O90=0,0,IFERROR($AH90/MAX(Weights!$B$8,$Y90)/MAX(Weights!$B$9,IF($Z90="",0,$Z90)), "")))</f>
        <v/>
      </c>
      <c r="AJ90" s="17"/>
    </row>
    <row r="91" ht="15.75" customHeight="1">
      <c r="A91" s="10"/>
      <c r="B91" s="39"/>
      <c r="C91" s="10"/>
      <c r="D91" s="10"/>
      <c r="E91" s="10"/>
      <c r="F91" s="10" t="str">
        <f>IF($E91="","",VLOOKUP($E91,Benchmark_URLs!$A$2:$L$46,4,FALSE))</f>
        <v/>
      </c>
      <c r="G91" s="10"/>
      <c r="H91" s="10" t="str">
        <f>IF($E91="","",VLOOKUP($E91,Benchmark_URLs!$A$2:$L$46,6,FALSE))</f>
        <v/>
      </c>
      <c r="I91" s="10" t="str">
        <f>IF($E91="","",VLOOKUP($E91,Benchmark_URLs!$A$2:$L$46,7,FALSE))</f>
        <v/>
      </c>
      <c r="J91" s="10" t="str">
        <f>IF($E91="","",VLOOKUP($E91,Benchmark_URLs!$A$2:$L$46,8,FALSE))</f>
        <v/>
      </c>
      <c r="K91" s="10" t="str">
        <f>IF($E91="","",VLOOKUP($E91,Benchmark_URLs!$A$2:$L$46,9,FALSE))</f>
        <v/>
      </c>
      <c r="L91" s="10" t="str">
        <f>IF($E91="","",VLOOKUP($E91,Benchmark_URLs!$A$2:$L$46,10,FALSE))</f>
        <v/>
      </c>
      <c r="M91" s="10" t="str">
        <f>IF($E91="","",VLOOKUP($E91,Benchmark_URLs!$A$2:$L$46,11,FALSE))</f>
        <v/>
      </c>
      <c r="N91" s="16"/>
      <c r="O91" s="16"/>
      <c r="P91" s="16"/>
      <c r="Q91" s="19"/>
      <c r="R91" s="19"/>
      <c r="S91" s="19"/>
      <c r="T91" s="16"/>
      <c r="U91" s="16"/>
      <c r="V91" s="16"/>
      <c r="W91" s="19"/>
      <c r="X91" s="19"/>
      <c r="Y91" s="20"/>
      <c r="Z91" s="20"/>
      <c r="AA91" s="10"/>
      <c r="AB91" s="10"/>
      <c r="AC91" s="15" t="str">
        <f t="shared" si="7"/>
        <v/>
      </c>
      <c r="AD91" s="15" t="str">
        <f t="shared" si="1"/>
        <v/>
      </c>
      <c r="AE91" s="16" t="str">
        <f t="shared" si="11"/>
        <v/>
      </c>
      <c r="AF91" s="16" t="str">
        <f>IF($E91="","",IF($H91="pdf",IFERROR(IF($X91&gt;=Weights!$B$10,1,0),0),1))</f>
        <v/>
      </c>
      <c r="AG91" s="16" t="str">
        <f t="shared" si="12"/>
        <v/>
      </c>
      <c r="AH91" s="15" t="str">
        <f>IF($E91="","",IFERROR((Weights!$B$2*$O91 + Weights!$B$3*$AE91 + Weights!$B$4*$AD91 + Weights!$B$5*(1-$AC91) + Weights!$B$6*$AF91 + Weights!$B$7*$AG91)/SUM(Weights!$B$2:$B$7),"" ))</f>
        <v/>
      </c>
      <c r="AI91" s="15" t="str">
        <f>IF($E91="","",IF($O91=0,0,IFERROR($AH91/MAX(Weights!$B$8,$Y91)/MAX(Weights!$B$9,IF($Z91="",0,$Z91)), "")))</f>
        <v/>
      </c>
      <c r="AJ91" s="17"/>
    </row>
    <row r="92" ht="15.75" customHeight="1">
      <c r="A92" s="10"/>
      <c r="B92" s="39"/>
      <c r="C92" s="10"/>
      <c r="D92" s="10"/>
      <c r="E92" s="10"/>
      <c r="F92" s="10" t="str">
        <f>IF($E92="","",VLOOKUP($E92,Benchmark_URLs!$A$2:$L$46,4,FALSE))</f>
        <v/>
      </c>
      <c r="G92" s="10"/>
      <c r="H92" s="10" t="str">
        <f>IF($E92="","",VLOOKUP($E92,Benchmark_URLs!$A$2:$L$46,6,FALSE))</f>
        <v/>
      </c>
      <c r="I92" s="10" t="str">
        <f>IF($E92="","",VLOOKUP($E92,Benchmark_URLs!$A$2:$L$46,7,FALSE))</f>
        <v/>
      </c>
      <c r="J92" s="10" t="str">
        <f>IF($E92="","",VLOOKUP($E92,Benchmark_URLs!$A$2:$L$46,8,FALSE))</f>
        <v/>
      </c>
      <c r="K92" s="10" t="str">
        <f>IF($E92="","",VLOOKUP($E92,Benchmark_URLs!$A$2:$L$46,9,FALSE))</f>
        <v/>
      </c>
      <c r="L92" s="10" t="str">
        <f>IF($E92="","",VLOOKUP($E92,Benchmark_URLs!$A$2:$L$46,10,FALSE))</f>
        <v/>
      </c>
      <c r="M92" s="10" t="str">
        <f>IF($E92="","",VLOOKUP($E92,Benchmark_URLs!$A$2:$L$46,11,FALSE))</f>
        <v/>
      </c>
      <c r="N92" s="16"/>
      <c r="O92" s="16"/>
      <c r="P92" s="16"/>
      <c r="Q92" s="19"/>
      <c r="R92" s="19"/>
      <c r="S92" s="19"/>
      <c r="T92" s="16"/>
      <c r="U92" s="16"/>
      <c r="V92" s="16"/>
      <c r="W92" s="19"/>
      <c r="X92" s="19"/>
      <c r="Y92" s="20"/>
      <c r="Z92" s="20"/>
      <c r="AA92" s="10"/>
      <c r="AB92" s="10"/>
      <c r="AC92" s="15" t="str">
        <f t="shared" si="7"/>
        <v/>
      </c>
      <c r="AD92" s="15" t="str">
        <f t="shared" si="1"/>
        <v/>
      </c>
      <c r="AE92" s="16" t="str">
        <f t="shared" si="11"/>
        <v/>
      </c>
      <c r="AF92" s="16" t="str">
        <f>IF($E92="","",IF($H92="pdf",IFERROR(IF($X92&gt;=Weights!$B$10,1,0),0),1))</f>
        <v/>
      </c>
      <c r="AG92" s="16" t="str">
        <f t="shared" si="12"/>
        <v/>
      </c>
      <c r="AH92" s="15" t="str">
        <f>IF($E92="","",IFERROR((Weights!$B$2*$O92 + Weights!$B$3*$AE92 + Weights!$B$4*$AD92 + Weights!$B$5*(1-$AC92) + Weights!$B$6*$AF92 + Weights!$B$7*$AG92)/SUM(Weights!$B$2:$B$7),"" ))</f>
        <v/>
      </c>
      <c r="AI92" s="15" t="str">
        <f>IF($E92="","",IF($O92=0,0,IFERROR($AH92/MAX(Weights!$B$8,$Y92)/MAX(Weights!$B$9,IF($Z92="",0,$Z92)), "")))</f>
        <v/>
      </c>
      <c r="AJ92" s="17"/>
    </row>
    <row r="93" ht="15.75" customHeight="1">
      <c r="A93" s="10"/>
      <c r="B93" s="39"/>
      <c r="C93" s="10"/>
      <c r="D93" s="10"/>
      <c r="E93" s="10"/>
      <c r="F93" s="10" t="str">
        <f>IF($E93="","",VLOOKUP($E93,Benchmark_URLs!$A$2:$L$46,4,FALSE))</f>
        <v/>
      </c>
      <c r="G93" s="10"/>
      <c r="H93" s="10" t="str">
        <f>IF($E93="","",VLOOKUP($E93,Benchmark_URLs!$A$2:$L$46,6,FALSE))</f>
        <v/>
      </c>
      <c r="I93" s="10" t="str">
        <f>IF($E93="","",VLOOKUP($E93,Benchmark_URLs!$A$2:$L$46,7,FALSE))</f>
        <v/>
      </c>
      <c r="J93" s="10" t="str">
        <f>IF($E93="","",VLOOKUP($E93,Benchmark_URLs!$A$2:$L$46,8,FALSE))</f>
        <v/>
      </c>
      <c r="K93" s="10" t="str">
        <f>IF($E93="","",VLOOKUP($E93,Benchmark_URLs!$A$2:$L$46,9,FALSE))</f>
        <v/>
      </c>
      <c r="L93" s="10" t="str">
        <f>IF($E93="","",VLOOKUP($E93,Benchmark_URLs!$A$2:$L$46,10,FALSE))</f>
        <v/>
      </c>
      <c r="M93" s="10" t="str">
        <f>IF($E93="","",VLOOKUP($E93,Benchmark_URLs!$A$2:$L$46,11,FALSE))</f>
        <v/>
      </c>
      <c r="N93" s="16"/>
      <c r="O93" s="16"/>
      <c r="P93" s="16"/>
      <c r="Q93" s="19"/>
      <c r="R93" s="19"/>
      <c r="S93" s="19"/>
      <c r="T93" s="16"/>
      <c r="U93" s="16"/>
      <c r="V93" s="16"/>
      <c r="W93" s="19"/>
      <c r="X93" s="19"/>
      <c r="Y93" s="20"/>
      <c r="Z93" s="20"/>
      <c r="AA93" s="10"/>
      <c r="AB93" s="10"/>
      <c r="AC93" s="15" t="str">
        <f t="shared" si="7"/>
        <v/>
      </c>
      <c r="AD93" s="15" t="str">
        <f t="shared" si="1"/>
        <v/>
      </c>
      <c r="AE93" s="16" t="str">
        <f t="shared" si="11"/>
        <v/>
      </c>
      <c r="AF93" s="16" t="str">
        <f>IF($E93="","",IF($H93="pdf",IFERROR(IF($X93&gt;=Weights!$B$10,1,0),0),1))</f>
        <v/>
      </c>
      <c r="AG93" s="16" t="str">
        <f t="shared" si="12"/>
        <v/>
      </c>
      <c r="AH93" s="15" t="str">
        <f>IF($E93="","",IFERROR((Weights!$B$2*$O93 + Weights!$B$3*$AE93 + Weights!$B$4*$AD93 + Weights!$B$5*(1-$AC93) + Weights!$B$6*$AF93 + Weights!$B$7*$AG93)/SUM(Weights!$B$2:$B$7),"" ))</f>
        <v/>
      </c>
      <c r="AI93" s="15" t="str">
        <f>IF($E93="","",IF($O93=0,0,IFERROR($AH93/MAX(Weights!$B$8,$Y93)/MAX(Weights!$B$9,IF($Z93="",0,$Z93)), "")))</f>
        <v/>
      </c>
      <c r="AJ93" s="17"/>
    </row>
    <row r="94" ht="15.75" customHeight="1">
      <c r="A94" s="10"/>
      <c r="B94" s="39"/>
      <c r="C94" s="10"/>
      <c r="D94" s="10"/>
      <c r="E94" s="10"/>
      <c r="F94" s="10" t="str">
        <f>IF($E94="","",VLOOKUP($E94,Benchmark_URLs!$A$2:$L$46,4,FALSE))</f>
        <v/>
      </c>
      <c r="G94" s="10"/>
      <c r="H94" s="10" t="str">
        <f>IF($E94="","",VLOOKUP($E94,Benchmark_URLs!$A$2:$L$46,6,FALSE))</f>
        <v/>
      </c>
      <c r="I94" s="10" t="str">
        <f>IF($E94="","",VLOOKUP($E94,Benchmark_URLs!$A$2:$L$46,7,FALSE))</f>
        <v/>
      </c>
      <c r="J94" s="10" t="str">
        <f>IF($E94="","",VLOOKUP($E94,Benchmark_URLs!$A$2:$L$46,8,FALSE))</f>
        <v/>
      </c>
      <c r="K94" s="10" t="str">
        <f>IF($E94="","",VLOOKUP($E94,Benchmark_URLs!$A$2:$L$46,9,FALSE))</f>
        <v/>
      </c>
      <c r="L94" s="10" t="str">
        <f>IF($E94="","",VLOOKUP($E94,Benchmark_URLs!$A$2:$L$46,10,FALSE))</f>
        <v/>
      </c>
      <c r="M94" s="10" t="str">
        <f>IF($E94="","",VLOOKUP($E94,Benchmark_URLs!$A$2:$L$46,11,FALSE))</f>
        <v/>
      </c>
      <c r="N94" s="16"/>
      <c r="O94" s="16"/>
      <c r="P94" s="16"/>
      <c r="Q94" s="19"/>
      <c r="R94" s="19"/>
      <c r="S94" s="19"/>
      <c r="T94" s="16"/>
      <c r="U94" s="16"/>
      <c r="V94" s="16"/>
      <c r="W94" s="19"/>
      <c r="X94" s="19"/>
      <c r="Y94" s="20"/>
      <c r="Z94" s="20"/>
      <c r="AA94" s="10"/>
      <c r="AB94" s="10"/>
      <c r="AC94" s="15" t="str">
        <f t="shared" si="7"/>
        <v/>
      </c>
      <c r="AD94" s="15" t="str">
        <f t="shared" si="1"/>
        <v/>
      </c>
      <c r="AE94" s="16" t="str">
        <f t="shared" si="11"/>
        <v/>
      </c>
      <c r="AF94" s="16" t="str">
        <f>IF($E94="","",IF($H94="pdf",IFERROR(IF($X94&gt;=Weights!$B$10,1,0),0),1))</f>
        <v/>
      </c>
      <c r="AG94" s="16" t="str">
        <f t="shared" si="12"/>
        <v/>
      </c>
      <c r="AH94" s="15" t="str">
        <f>IF($E94="","",IFERROR((Weights!$B$2*$O94 + Weights!$B$3*$AE94 + Weights!$B$4*$AD94 + Weights!$B$5*(1-$AC94) + Weights!$B$6*$AF94 + Weights!$B$7*$AG94)/SUM(Weights!$B$2:$B$7),"" ))</f>
        <v/>
      </c>
      <c r="AI94" s="15" t="str">
        <f>IF($E94="","",IF($O94=0,0,IFERROR($AH94/MAX(Weights!$B$8,$Y94)/MAX(Weights!$B$9,IF($Z94="",0,$Z94)), "")))</f>
        <v/>
      </c>
      <c r="AJ94" s="17"/>
    </row>
    <row r="95" ht="15.75" customHeight="1">
      <c r="A95" s="10"/>
      <c r="B95" s="39"/>
      <c r="C95" s="10"/>
      <c r="D95" s="10"/>
      <c r="E95" s="10"/>
      <c r="F95" s="10" t="str">
        <f>IF($E95="","",VLOOKUP($E95,Benchmark_URLs!$A$2:$L$46,4,FALSE))</f>
        <v/>
      </c>
      <c r="G95" s="10"/>
      <c r="H95" s="10" t="str">
        <f>IF($E95="","",VLOOKUP($E95,Benchmark_URLs!$A$2:$L$46,6,FALSE))</f>
        <v/>
      </c>
      <c r="I95" s="10" t="str">
        <f>IF($E95="","",VLOOKUP($E95,Benchmark_URLs!$A$2:$L$46,7,FALSE))</f>
        <v/>
      </c>
      <c r="J95" s="10" t="str">
        <f>IF($E95="","",VLOOKUP($E95,Benchmark_URLs!$A$2:$L$46,8,FALSE))</f>
        <v/>
      </c>
      <c r="K95" s="10" t="str">
        <f>IF($E95="","",VLOOKUP($E95,Benchmark_URLs!$A$2:$L$46,9,FALSE))</f>
        <v/>
      </c>
      <c r="L95" s="10" t="str">
        <f>IF($E95="","",VLOOKUP($E95,Benchmark_URLs!$A$2:$L$46,10,FALSE))</f>
        <v/>
      </c>
      <c r="M95" s="10" t="str">
        <f>IF($E95="","",VLOOKUP($E95,Benchmark_URLs!$A$2:$L$46,11,FALSE))</f>
        <v/>
      </c>
      <c r="N95" s="16"/>
      <c r="O95" s="16"/>
      <c r="P95" s="16"/>
      <c r="Q95" s="19"/>
      <c r="R95" s="19"/>
      <c r="S95" s="19"/>
      <c r="T95" s="16"/>
      <c r="U95" s="16"/>
      <c r="V95" s="16"/>
      <c r="W95" s="19"/>
      <c r="X95" s="19"/>
      <c r="Y95" s="20"/>
      <c r="Z95" s="20"/>
      <c r="AA95" s="10"/>
      <c r="AB95" s="10"/>
      <c r="AC95" s="15" t="str">
        <f t="shared" si="7"/>
        <v/>
      </c>
      <c r="AD95" s="15" t="str">
        <f t="shared" si="1"/>
        <v/>
      </c>
      <c r="AE95" s="16" t="str">
        <f t="shared" si="11"/>
        <v/>
      </c>
      <c r="AF95" s="16" t="str">
        <f>IF($E95="","",IF($H95="pdf",IFERROR(IF($X95&gt;=Weights!$B$10,1,0),0),1))</f>
        <v/>
      </c>
      <c r="AG95" s="16" t="str">
        <f t="shared" si="12"/>
        <v/>
      </c>
      <c r="AH95" s="15" t="str">
        <f>IF($E95="","",IFERROR((Weights!$B$2*$O95 + Weights!$B$3*$AE95 + Weights!$B$4*$AD95 + Weights!$B$5*(1-$AC95) + Weights!$B$6*$AF95 + Weights!$B$7*$AG95)/SUM(Weights!$B$2:$B$7),"" ))</f>
        <v/>
      </c>
      <c r="AI95" s="15" t="str">
        <f>IF($E95="","",IF($O95=0,0,IFERROR($AH95/MAX(Weights!$B$8,$Y95)/MAX(Weights!$B$9,IF($Z95="",0,$Z95)), "")))</f>
        <v/>
      </c>
      <c r="AJ95" s="17"/>
    </row>
    <row r="96" ht="15.75" customHeight="1">
      <c r="A96" s="10"/>
      <c r="B96" s="39"/>
      <c r="C96" s="10"/>
      <c r="D96" s="10"/>
      <c r="E96" s="10"/>
      <c r="F96" s="10" t="str">
        <f>IF($E96="","",VLOOKUP($E96,Benchmark_URLs!$A$2:$L$46,4,FALSE))</f>
        <v/>
      </c>
      <c r="G96" s="10"/>
      <c r="H96" s="10" t="str">
        <f>IF($E96="","",VLOOKUP($E96,Benchmark_URLs!$A$2:$L$46,6,FALSE))</f>
        <v/>
      </c>
      <c r="I96" s="10" t="str">
        <f>IF($E96="","",VLOOKUP($E96,Benchmark_URLs!$A$2:$L$46,7,FALSE))</f>
        <v/>
      </c>
      <c r="J96" s="10" t="str">
        <f>IF($E96="","",VLOOKUP($E96,Benchmark_URLs!$A$2:$L$46,8,FALSE))</f>
        <v/>
      </c>
      <c r="K96" s="10" t="str">
        <f>IF($E96="","",VLOOKUP($E96,Benchmark_URLs!$A$2:$L$46,9,FALSE))</f>
        <v/>
      </c>
      <c r="L96" s="10" t="str">
        <f>IF($E96="","",VLOOKUP($E96,Benchmark_URLs!$A$2:$L$46,10,FALSE))</f>
        <v/>
      </c>
      <c r="M96" s="10" t="str">
        <f>IF($E96="","",VLOOKUP($E96,Benchmark_URLs!$A$2:$L$46,11,FALSE))</f>
        <v/>
      </c>
      <c r="N96" s="16"/>
      <c r="O96" s="16"/>
      <c r="P96" s="16"/>
      <c r="Q96" s="19"/>
      <c r="R96" s="19"/>
      <c r="S96" s="19"/>
      <c r="T96" s="16"/>
      <c r="U96" s="16"/>
      <c r="V96" s="16"/>
      <c r="W96" s="19"/>
      <c r="X96" s="19"/>
      <c r="Y96" s="20"/>
      <c r="Z96" s="20"/>
      <c r="AA96" s="10"/>
      <c r="AB96" s="10"/>
      <c r="AC96" s="15" t="str">
        <f t="shared" si="7"/>
        <v/>
      </c>
      <c r="AD96" s="15" t="str">
        <f t="shared" si="1"/>
        <v/>
      </c>
      <c r="AE96" s="16" t="str">
        <f t="shared" si="11"/>
        <v/>
      </c>
      <c r="AF96" s="16" t="str">
        <f>IF($E96="","",IF($H96="pdf",IFERROR(IF($X96&gt;=Weights!$B$10,1,0),0),1))</f>
        <v/>
      </c>
      <c r="AG96" s="16" t="str">
        <f t="shared" si="12"/>
        <v/>
      </c>
      <c r="AH96" s="15" t="str">
        <f>IF($E96="","",IFERROR((Weights!$B$2*$O96 + Weights!$B$3*$AE96 + Weights!$B$4*$AD96 + Weights!$B$5*(1-$AC96) + Weights!$B$6*$AF96 + Weights!$B$7*$AG96)/SUM(Weights!$B$2:$B$7),"" ))</f>
        <v/>
      </c>
      <c r="AI96" s="15" t="str">
        <f>IF($E96="","",IF($O96=0,0,IFERROR($AH96/MAX(Weights!$B$8,$Y96)/MAX(Weights!$B$9,IF($Z96="",0,$Z96)), "")))</f>
        <v/>
      </c>
      <c r="AJ96" s="17"/>
    </row>
    <row r="97" ht="15.75" customHeight="1">
      <c r="A97" s="10"/>
      <c r="B97" s="39"/>
      <c r="C97" s="10"/>
      <c r="D97" s="10"/>
      <c r="E97" s="10"/>
      <c r="F97" s="10" t="str">
        <f>IF($E97="","",VLOOKUP($E97,Benchmark_URLs!$A$2:$L$46,4,FALSE))</f>
        <v/>
      </c>
      <c r="G97" s="10"/>
      <c r="H97" s="10" t="str">
        <f>IF($E97="","",VLOOKUP($E97,Benchmark_URLs!$A$2:$L$46,6,FALSE))</f>
        <v/>
      </c>
      <c r="I97" s="10" t="str">
        <f>IF($E97="","",VLOOKUP($E97,Benchmark_URLs!$A$2:$L$46,7,FALSE))</f>
        <v/>
      </c>
      <c r="J97" s="10" t="str">
        <f>IF($E97="","",VLOOKUP($E97,Benchmark_URLs!$A$2:$L$46,8,FALSE))</f>
        <v/>
      </c>
      <c r="K97" s="10" t="str">
        <f>IF($E97="","",VLOOKUP($E97,Benchmark_URLs!$A$2:$L$46,9,FALSE))</f>
        <v/>
      </c>
      <c r="L97" s="10" t="str">
        <f>IF($E97="","",VLOOKUP($E97,Benchmark_URLs!$A$2:$L$46,10,FALSE))</f>
        <v/>
      </c>
      <c r="M97" s="10" t="str">
        <f>IF($E97="","",VLOOKUP($E97,Benchmark_URLs!$A$2:$L$46,11,FALSE))</f>
        <v/>
      </c>
      <c r="N97" s="16"/>
      <c r="O97" s="16"/>
      <c r="P97" s="16"/>
      <c r="Q97" s="19"/>
      <c r="R97" s="19"/>
      <c r="S97" s="19"/>
      <c r="T97" s="16"/>
      <c r="U97" s="16"/>
      <c r="V97" s="16"/>
      <c r="W97" s="19"/>
      <c r="X97" s="19"/>
      <c r="Y97" s="20"/>
      <c r="Z97" s="20"/>
      <c r="AA97" s="10"/>
      <c r="AB97" s="10"/>
      <c r="AC97" s="15" t="str">
        <f t="shared" si="7"/>
        <v/>
      </c>
      <c r="AD97" s="15" t="str">
        <f t="shared" si="1"/>
        <v/>
      </c>
      <c r="AE97" s="16" t="str">
        <f t="shared" si="11"/>
        <v/>
      </c>
      <c r="AF97" s="16" t="str">
        <f>IF($E97="","",IF($H97="pdf",IFERROR(IF($X97&gt;=Weights!$B$10,1,0),0),1))</f>
        <v/>
      </c>
      <c r="AG97" s="16" t="str">
        <f t="shared" si="12"/>
        <v/>
      </c>
      <c r="AH97" s="15" t="str">
        <f>IF($E97="","",IFERROR((Weights!$B$2*$O97 + Weights!$B$3*$AE97 + Weights!$B$4*$AD97 + Weights!$B$5*(1-$AC97) + Weights!$B$6*$AF97 + Weights!$B$7*$AG97)/SUM(Weights!$B$2:$B$7),"" ))</f>
        <v/>
      </c>
      <c r="AI97" s="15" t="str">
        <f>IF($E97="","",IF($O97=0,0,IFERROR($AH97/MAX(Weights!$B$8,$Y97)/MAX(Weights!$B$9,IF($Z97="",0,$Z97)), "")))</f>
        <v/>
      </c>
      <c r="AJ97" s="17"/>
    </row>
    <row r="98" ht="15.75" customHeight="1">
      <c r="A98" s="10"/>
      <c r="B98" s="39"/>
      <c r="C98" s="10"/>
      <c r="D98" s="10"/>
      <c r="E98" s="10"/>
      <c r="F98" s="10" t="str">
        <f>IF($E98="","",VLOOKUP($E98,Benchmark_URLs!$A$2:$L$46,4,FALSE))</f>
        <v/>
      </c>
      <c r="G98" s="10"/>
      <c r="H98" s="10" t="str">
        <f>IF($E98="","",VLOOKUP($E98,Benchmark_URLs!$A$2:$L$46,6,FALSE))</f>
        <v/>
      </c>
      <c r="I98" s="10" t="str">
        <f>IF($E98="","",VLOOKUP($E98,Benchmark_URLs!$A$2:$L$46,7,FALSE))</f>
        <v/>
      </c>
      <c r="J98" s="10" t="str">
        <f>IF($E98="","",VLOOKUP($E98,Benchmark_URLs!$A$2:$L$46,8,FALSE))</f>
        <v/>
      </c>
      <c r="K98" s="10" t="str">
        <f>IF($E98="","",VLOOKUP($E98,Benchmark_URLs!$A$2:$L$46,9,FALSE))</f>
        <v/>
      </c>
      <c r="L98" s="10" t="str">
        <f>IF($E98="","",VLOOKUP($E98,Benchmark_URLs!$A$2:$L$46,10,FALSE))</f>
        <v/>
      </c>
      <c r="M98" s="10" t="str">
        <f>IF($E98="","",VLOOKUP($E98,Benchmark_URLs!$A$2:$L$46,11,FALSE))</f>
        <v/>
      </c>
      <c r="N98" s="16"/>
      <c r="O98" s="16"/>
      <c r="P98" s="16"/>
      <c r="Q98" s="19"/>
      <c r="R98" s="19"/>
      <c r="S98" s="19"/>
      <c r="T98" s="16"/>
      <c r="U98" s="16"/>
      <c r="V98" s="16"/>
      <c r="W98" s="19"/>
      <c r="X98" s="19"/>
      <c r="Y98" s="20"/>
      <c r="Z98" s="20"/>
      <c r="AA98" s="10"/>
      <c r="AB98" s="10"/>
      <c r="AC98" s="15" t="str">
        <f t="shared" si="7"/>
        <v/>
      </c>
      <c r="AD98" s="15" t="str">
        <f t="shared" si="1"/>
        <v/>
      </c>
      <c r="AE98" s="16" t="str">
        <f t="shared" si="11"/>
        <v/>
      </c>
      <c r="AF98" s="16" t="str">
        <f>IF($E98="","",IF($H98="pdf",IFERROR(IF($X98&gt;=Weights!$B$10,1,0),0),1))</f>
        <v/>
      </c>
      <c r="AG98" s="16" t="str">
        <f t="shared" si="12"/>
        <v/>
      </c>
      <c r="AH98" s="15" t="str">
        <f>IF($E98="","",IFERROR((Weights!$B$2*$O98 + Weights!$B$3*$AE98 + Weights!$B$4*$AD98 + Weights!$B$5*(1-$AC98) + Weights!$B$6*$AF98 + Weights!$B$7*$AG98)/SUM(Weights!$B$2:$B$7),"" ))</f>
        <v/>
      </c>
      <c r="AI98" s="15" t="str">
        <f>IF($E98="","",IF($O98=0,0,IFERROR($AH98/MAX(Weights!$B$8,$Y98)/MAX(Weights!$B$9,IF($Z98="",0,$Z98)), "")))</f>
        <v/>
      </c>
      <c r="AJ98" s="17"/>
    </row>
    <row r="99" ht="15.75" customHeight="1">
      <c r="A99" s="10"/>
      <c r="B99" s="39"/>
      <c r="C99" s="10"/>
      <c r="D99" s="10"/>
      <c r="E99" s="10"/>
      <c r="F99" s="10" t="str">
        <f>IF($E99="","",VLOOKUP($E99,Benchmark_URLs!$A$2:$L$46,4,FALSE))</f>
        <v/>
      </c>
      <c r="G99" s="10"/>
      <c r="H99" s="10" t="str">
        <f>IF($E99="","",VLOOKUP($E99,Benchmark_URLs!$A$2:$L$46,6,FALSE))</f>
        <v/>
      </c>
      <c r="I99" s="10" t="str">
        <f>IF($E99="","",VLOOKUP($E99,Benchmark_URLs!$A$2:$L$46,7,FALSE))</f>
        <v/>
      </c>
      <c r="J99" s="10" t="str">
        <f>IF($E99="","",VLOOKUP($E99,Benchmark_URLs!$A$2:$L$46,8,FALSE))</f>
        <v/>
      </c>
      <c r="K99" s="10" t="str">
        <f>IF($E99="","",VLOOKUP($E99,Benchmark_URLs!$A$2:$L$46,9,FALSE))</f>
        <v/>
      </c>
      <c r="L99" s="10" t="str">
        <f>IF($E99="","",VLOOKUP($E99,Benchmark_URLs!$A$2:$L$46,10,FALSE))</f>
        <v/>
      </c>
      <c r="M99" s="10" t="str">
        <f>IF($E99="","",VLOOKUP($E99,Benchmark_URLs!$A$2:$L$46,11,FALSE))</f>
        <v/>
      </c>
      <c r="N99" s="16"/>
      <c r="O99" s="16"/>
      <c r="P99" s="16"/>
      <c r="Q99" s="19"/>
      <c r="R99" s="19"/>
      <c r="S99" s="19"/>
      <c r="T99" s="16"/>
      <c r="U99" s="16"/>
      <c r="V99" s="16"/>
      <c r="W99" s="19"/>
      <c r="X99" s="19"/>
      <c r="Y99" s="20"/>
      <c r="Z99" s="20"/>
      <c r="AA99" s="10"/>
      <c r="AB99" s="10"/>
      <c r="AC99" s="15" t="str">
        <f t="shared" si="7"/>
        <v/>
      </c>
      <c r="AD99" s="15" t="str">
        <f t="shared" si="1"/>
        <v/>
      </c>
      <c r="AE99" s="16" t="str">
        <f t="shared" si="11"/>
        <v/>
      </c>
      <c r="AF99" s="16" t="str">
        <f>IF($E99="","",IF($H99="pdf",IFERROR(IF($X99&gt;=Weights!$B$10,1,0),0),1))</f>
        <v/>
      </c>
      <c r="AG99" s="16" t="str">
        <f t="shared" si="12"/>
        <v/>
      </c>
      <c r="AH99" s="15" t="str">
        <f>IF($E99="","",IFERROR((Weights!$B$2*$O99 + Weights!$B$3*$AE99 + Weights!$B$4*$AD99 + Weights!$B$5*(1-$AC99) + Weights!$B$6*$AF99 + Weights!$B$7*$AG99)/SUM(Weights!$B$2:$B$7),"" ))</f>
        <v/>
      </c>
      <c r="AI99" s="15" t="str">
        <f>IF($E99="","",IF($O99=0,0,IFERROR($AH99/MAX(Weights!$B$8,$Y99)/MAX(Weights!$B$9,IF($Z99="",0,$Z99)), "")))</f>
        <v/>
      </c>
      <c r="AJ99" s="17"/>
    </row>
    <row r="100" ht="15.75" customHeight="1">
      <c r="A100" s="10"/>
      <c r="B100" s="39"/>
      <c r="C100" s="10"/>
      <c r="D100" s="10"/>
      <c r="E100" s="10"/>
      <c r="F100" s="10" t="str">
        <f>IF($E100="","",VLOOKUP($E100,Benchmark_URLs!$A$2:$L$46,4,FALSE))</f>
        <v/>
      </c>
      <c r="G100" s="10"/>
      <c r="H100" s="10" t="str">
        <f>IF($E100="","",VLOOKUP($E100,Benchmark_URLs!$A$2:$L$46,6,FALSE))</f>
        <v/>
      </c>
      <c r="I100" s="10" t="str">
        <f>IF($E100="","",VLOOKUP($E100,Benchmark_URLs!$A$2:$L$46,7,FALSE))</f>
        <v/>
      </c>
      <c r="J100" s="10" t="str">
        <f>IF($E100="","",VLOOKUP($E100,Benchmark_URLs!$A$2:$L$46,8,FALSE))</f>
        <v/>
      </c>
      <c r="K100" s="10" t="str">
        <f>IF($E100="","",VLOOKUP($E100,Benchmark_URLs!$A$2:$L$46,9,FALSE))</f>
        <v/>
      </c>
      <c r="L100" s="10" t="str">
        <f>IF($E100="","",VLOOKUP($E100,Benchmark_URLs!$A$2:$L$46,10,FALSE))</f>
        <v/>
      </c>
      <c r="M100" s="10" t="str">
        <f>IF($E100="","",VLOOKUP($E100,Benchmark_URLs!$A$2:$L$46,11,FALSE))</f>
        <v/>
      </c>
      <c r="N100" s="16"/>
      <c r="O100" s="16"/>
      <c r="P100" s="16"/>
      <c r="Q100" s="19"/>
      <c r="R100" s="19"/>
      <c r="S100" s="19"/>
      <c r="T100" s="16"/>
      <c r="U100" s="16"/>
      <c r="V100" s="16"/>
      <c r="W100" s="19"/>
      <c r="X100" s="19"/>
      <c r="Y100" s="20"/>
      <c r="Z100" s="20"/>
      <c r="AA100" s="10"/>
      <c r="AB100" s="10"/>
      <c r="AC100" s="15" t="str">
        <f t="shared" si="7"/>
        <v/>
      </c>
      <c r="AD100" s="15" t="str">
        <f t="shared" si="1"/>
        <v/>
      </c>
      <c r="AE100" s="16" t="str">
        <f t="shared" si="11"/>
        <v/>
      </c>
      <c r="AF100" s="16" t="str">
        <f>IF($E100="","",IF($H100="pdf",IFERROR(IF($X100&gt;=Weights!$B$10,1,0),0),1))</f>
        <v/>
      </c>
      <c r="AG100" s="16" t="str">
        <f t="shared" si="12"/>
        <v/>
      </c>
      <c r="AH100" s="15" t="str">
        <f>IF($E100="","",IFERROR((Weights!$B$2*$O100 + Weights!$B$3*$AE100 + Weights!$B$4*$AD100 + Weights!$B$5*(1-$AC100) + Weights!$B$6*$AF100 + Weights!$B$7*$AG100)/SUM(Weights!$B$2:$B$7),"" ))</f>
        <v/>
      </c>
      <c r="AI100" s="15" t="str">
        <f>IF($E100="","",IF($O100=0,0,IFERROR($AH100/MAX(Weights!$B$8,$Y100)/MAX(Weights!$B$9,IF($Z100="",0,$Z100)), "")))</f>
        <v/>
      </c>
      <c r="AJ100" s="17"/>
    </row>
    <row r="101" ht="15.75" customHeight="1">
      <c r="A101" s="10"/>
      <c r="B101" s="39"/>
      <c r="C101" s="10"/>
      <c r="D101" s="10"/>
      <c r="E101" s="10"/>
      <c r="F101" s="10" t="str">
        <f>IF($E101="","",VLOOKUP($E101,Benchmark_URLs!$A$2:$L$46,4,FALSE))</f>
        <v/>
      </c>
      <c r="G101" s="10"/>
      <c r="H101" s="10" t="str">
        <f>IF($E101="","",VLOOKUP($E101,Benchmark_URLs!$A$2:$L$46,6,FALSE))</f>
        <v/>
      </c>
      <c r="I101" s="10" t="str">
        <f>IF($E101="","",VLOOKUP($E101,Benchmark_URLs!$A$2:$L$46,7,FALSE))</f>
        <v/>
      </c>
      <c r="J101" s="10" t="str">
        <f>IF($E101="","",VLOOKUP($E101,Benchmark_URLs!$A$2:$L$46,8,FALSE))</f>
        <v/>
      </c>
      <c r="K101" s="10" t="str">
        <f>IF($E101="","",VLOOKUP($E101,Benchmark_URLs!$A$2:$L$46,9,FALSE))</f>
        <v/>
      </c>
      <c r="L101" s="10" t="str">
        <f>IF($E101="","",VLOOKUP($E101,Benchmark_URLs!$A$2:$L$46,10,FALSE))</f>
        <v/>
      </c>
      <c r="M101" s="10" t="str">
        <f>IF($E101="","",VLOOKUP($E101,Benchmark_URLs!$A$2:$L$46,11,FALSE))</f>
        <v/>
      </c>
      <c r="N101" s="16"/>
      <c r="O101" s="16"/>
      <c r="P101" s="16"/>
      <c r="Q101" s="19"/>
      <c r="R101" s="19"/>
      <c r="S101" s="19"/>
      <c r="T101" s="16"/>
      <c r="U101" s="16"/>
      <c r="V101" s="16"/>
      <c r="W101" s="19"/>
      <c r="X101" s="19"/>
      <c r="Y101" s="20"/>
      <c r="Z101" s="20"/>
      <c r="AA101" s="10"/>
      <c r="AB101" s="10"/>
      <c r="AC101" s="15" t="str">
        <f t="shared" si="7"/>
        <v/>
      </c>
      <c r="AD101" s="15" t="str">
        <f t="shared" si="1"/>
        <v/>
      </c>
      <c r="AE101" s="16" t="str">
        <f t="shared" si="11"/>
        <v/>
      </c>
      <c r="AF101" s="16" t="str">
        <f>IF($E101="","",IF($H101="pdf",IFERROR(IF($X101&gt;=Weights!$B$10,1,0),0),1))</f>
        <v/>
      </c>
      <c r="AG101" s="16" t="str">
        <f t="shared" si="12"/>
        <v/>
      </c>
      <c r="AH101" s="15" t="str">
        <f>IF($E101="","",IFERROR((Weights!$B$2*$O101 + Weights!$B$3*$AE101 + Weights!$B$4*$AD101 + Weights!$B$5*(1-$AC101) + Weights!$B$6*$AF101 + Weights!$B$7*$AG101)/SUM(Weights!$B$2:$B$7),"" ))</f>
        <v/>
      </c>
      <c r="AI101" s="15" t="str">
        <f>IF($E101="","",IF($O101=0,0,IFERROR($AH101/MAX(Weights!$B$8,$Y101)/MAX(Weights!$B$9,IF($Z101="",0,$Z101)), "")))</f>
        <v/>
      </c>
      <c r="AJ101" s="17"/>
    </row>
    <row r="102" ht="15.75" customHeight="1">
      <c r="A102" s="10"/>
      <c r="B102" s="39"/>
      <c r="C102" s="10"/>
      <c r="D102" s="10"/>
      <c r="E102" s="10"/>
      <c r="F102" s="10" t="str">
        <f>IF($E102="","",VLOOKUP($E102,Benchmark_URLs!$A$2:$L$46,4,FALSE))</f>
        <v/>
      </c>
      <c r="G102" s="10"/>
      <c r="H102" s="10" t="str">
        <f>IF($E102="","",VLOOKUP($E102,Benchmark_URLs!$A$2:$L$46,6,FALSE))</f>
        <v/>
      </c>
      <c r="I102" s="10" t="str">
        <f>IF($E102="","",VLOOKUP($E102,Benchmark_URLs!$A$2:$L$46,7,FALSE))</f>
        <v/>
      </c>
      <c r="J102" s="10" t="str">
        <f>IF($E102="","",VLOOKUP($E102,Benchmark_URLs!$A$2:$L$46,8,FALSE))</f>
        <v/>
      </c>
      <c r="K102" s="10" t="str">
        <f>IF($E102="","",VLOOKUP($E102,Benchmark_URLs!$A$2:$L$46,9,FALSE))</f>
        <v/>
      </c>
      <c r="L102" s="10" t="str">
        <f>IF($E102="","",VLOOKUP($E102,Benchmark_URLs!$A$2:$L$46,10,FALSE))</f>
        <v/>
      </c>
      <c r="M102" s="10" t="str">
        <f>IF($E102="","",VLOOKUP($E102,Benchmark_URLs!$A$2:$L$46,11,FALSE))</f>
        <v/>
      </c>
      <c r="N102" s="16"/>
      <c r="O102" s="16"/>
      <c r="P102" s="16"/>
      <c r="Q102" s="19"/>
      <c r="R102" s="19"/>
      <c r="S102" s="19"/>
      <c r="T102" s="16"/>
      <c r="U102" s="16"/>
      <c r="V102" s="16"/>
      <c r="W102" s="19"/>
      <c r="X102" s="19"/>
      <c r="Y102" s="20"/>
      <c r="Z102" s="20"/>
      <c r="AA102" s="10"/>
      <c r="AB102" s="10"/>
      <c r="AC102" s="15" t="str">
        <f t="shared" si="7"/>
        <v/>
      </c>
      <c r="AD102" s="15" t="str">
        <f t="shared" si="1"/>
        <v/>
      </c>
      <c r="AE102" s="16" t="str">
        <f t="shared" si="11"/>
        <v/>
      </c>
      <c r="AF102" s="16" t="str">
        <f>IF($E102="","",IF($H102="pdf",IFERROR(IF($X102&gt;=Weights!$B$10,1,0),0),1))</f>
        <v/>
      </c>
      <c r="AG102" s="16" t="str">
        <f t="shared" si="12"/>
        <v/>
      </c>
      <c r="AH102" s="15" t="str">
        <f>IF($E102="","",IFERROR((Weights!$B$2*$O102 + Weights!$B$3*$AE102 + Weights!$B$4*$AD102 + Weights!$B$5*(1-$AC102) + Weights!$B$6*$AF102 + Weights!$B$7*$AG102)/SUM(Weights!$B$2:$B$7),"" ))</f>
        <v/>
      </c>
      <c r="AI102" s="15" t="str">
        <f>IF($E102="","",IF($O102=0,0,IFERROR($AH102/MAX(Weights!$B$8,$Y102)/MAX(Weights!$B$9,IF($Z102="",0,$Z102)), "")))</f>
        <v/>
      </c>
      <c r="AJ102" s="17"/>
    </row>
    <row r="103" ht="15.75" customHeight="1">
      <c r="A103" s="10"/>
      <c r="B103" s="39"/>
      <c r="C103" s="10"/>
      <c r="D103" s="10"/>
      <c r="E103" s="10"/>
      <c r="F103" s="10" t="str">
        <f>IF($E103="","",VLOOKUP($E103,Benchmark_URLs!$A$2:$L$46,4,FALSE))</f>
        <v/>
      </c>
      <c r="G103" s="10"/>
      <c r="H103" s="10" t="str">
        <f>IF($E103="","",VLOOKUP($E103,Benchmark_URLs!$A$2:$L$46,6,FALSE))</f>
        <v/>
      </c>
      <c r="I103" s="10" t="str">
        <f>IF($E103="","",VLOOKUP($E103,Benchmark_URLs!$A$2:$L$46,7,FALSE))</f>
        <v/>
      </c>
      <c r="J103" s="10" t="str">
        <f>IF($E103="","",VLOOKUP($E103,Benchmark_URLs!$A$2:$L$46,8,FALSE))</f>
        <v/>
      </c>
      <c r="K103" s="10" t="str">
        <f>IF($E103="","",VLOOKUP($E103,Benchmark_URLs!$A$2:$L$46,9,FALSE))</f>
        <v/>
      </c>
      <c r="L103" s="10" t="str">
        <f>IF($E103="","",VLOOKUP($E103,Benchmark_URLs!$A$2:$L$46,10,FALSE))</f>
        <v/>
      </c>
      <c r="M103" s="10" t="str">
        <f>IF($E103="","",VLOOKUP($E103,Benchmark_URLs!$A$2:$L$46,11,FALSE))</f>
        <v/>
      </c>
      <c r="N103" s="16"/>
      <c r="O103" s="16"/>
      <c r="P103" s="16"/>
      <c r="Q103" s="19"/>
      <c r="R103" s="19"/>
      <c r="S103" s="19"/>
      <c r="T103" s="16"/>
      <c r="U103" s="16"/>
      <c r="V103" s="16"/>
      <c r="W103" s="19"/>
      <c r="X103" s="19"/>
      <c r="Y103" s="20"/>
      <c r="Z103" s="20"/>
      <c r="AA103" s="10"/>
      <c r="AB103" s="10"/>
      <c r="AC103" s="15" t="str">
        <f t="shared" si="7"/>
        <v/>
      </c>
      <c r="AD103" s="15" t="str">
        <f t="shared" si="1"/>
        <v/>
      </c>
      <c r="AE103" s="16" t="str">
        <f t="shared" si="11"/>
        <v/>
      </c>
      <c r="AF103" s="16" t="str">
        <f>IF($E103="","",IF($H103="pdf",IFERROR(IF($X103&gt;=Weights!$B$10,1,0),0),1))</f>
        <v/>
      </c>
      <c r="AG103" s="16" t="str">
        <f t="shared" si="12"/>
        <v/>
      </c>
      <c r="AH103" s="15" t="str">
        <f>IF($E103="","",IFERROR((Weights!$B$2*$O103 + Weights!$B$3*$AE103 + Weights!$B$4*$AD103 + Weights!$B$5*(1-$AC103) + Weights!$B$6*$AF103 + Weights!$B$7*$AG103)/SUM(Weights!$B$2:$B$7),"" ))</f>
        <v/>
      </c>
      <c r="AI103" s="15" t="str">
        <f>IF($E103="","",IF($O103=0,0,IFERROR($AH103/MAX(Weights!$B$8,$Y103)/MAX(Weights!$B$9,IF($Z103="",0,$Z103)), "")))</f>
        <v/>
      </c>
      <c r="AJ103" s="17"/>
    </row>
    <row r="104" ht="15.75" customHeight="1">
      <c r="A104" s="10"/>
      <c r="B104" s="39"/>
      <c r="C104" s="10"/>
      <c r="D104" s="10"/>
      <c r="E104" s="10"/>
      <c r="F104" s="10" t="str">
        <f>IF($E104="","",VLOOKUP($E104,Benchmark_URLs!$A$2:$L$46,4,FALSE))</f>
        <v/>
      </c>
      <c r="G104" s="10"/>
      <c r="H104" s="10" t="str">
        <f>IF($E104="","",VLOOKUP($E104,Benchmark_URLs!$A$2:$L$46,6,FALSE))</f>
        <v/>
      </c>
      <c r="I104" s="10" t="str">
        <f>IF($E104="","",VLOOKUP($E104,Benchmark_URLs!$A$2:$L$46,7,FALSE))</f>
        <v/>
      </c>
      <c r="J104" s="10" t="str">
        <f>IF($E104="","",VLOOKUP($E104,Benchmark_URLs!$A$2:$L$46,8,FALSE))</f>
        <v/>
      </c>
      <c r="K104" s="10" t="str">
        <f>IF($E104="","",VLOOKUP($E104,Benchmark_URLs!$A$2:$L$46,9,FALSE))</f>
        <v/>
      </c>
      <c r="L104" s="10" t="str">
        <f>IF($E104="","",VLOOKUP($E104,Benchmark_URLs!$A$2:$L$46,10,FALSE))</f>
        <v/>
      </c>
      <c r="M104" s="10" t="str">
        <f>IF($E104="","",VLOOKUP($E104,Benchmark_URLs!$A$2:$L$46,11,FALSE))</f>
        <v/>
      </c>
      <c r="N104" s="16"/>
      <c r="O104" s="16"/>
      <c r="P104" s="16"/>
      <c r="Q104" s="19"/>
      <c r="R104" s="19"/>
      <c r="S104" s="19"/>
      <c r="T104" s="16"/>
      <c r="U104" s="16"/>
      <c r="V104" s="16"/>
      <c r="W104" s="19"/>
      <c r="X104" s="19"/>
      <c r="Y104" s="20"/>
      <c r="Z104" s="20"/>
      <c r="AA104" s="10"/>
      <c r="AB104" s="10"/>
      <c r="AC104" s="15" t="str">
        <f t="shared" si="7"/>
        <v/>
      </c>
      <c r="AD104" s="15" t="str">
        <f t="shared" si="1"/>
        <v/>
      </c>
      <c r="AE104" s="16" t="str">
        <f t="shared" si="11"/>
        <v/>
      </c>
      <c r="AF104" s="16" t="str">
        <f>IF($E104="","",IF($H104="pdf",IFERROR(IF($X104&gt;=Weights!$B$10,1,0),0),1))</f>
        <v/>
      </c>
      <c r="AG104" s="16" t="str">
        <f t="shared" si="12"/>
        <v/>
      </c>
      <c r="AH104" s="15" t="str">
        <f>IF($E104="","",IFERROR((Weights!$B$2*$O104 + Weights!$B$3*$AE104 + Weights!$B$4*$AD104 + Weights!$B$5*(1-$AC104) + Weights!$B$6*$AF104 + Weights!$B$7*$AG104)/SUM(Weights!$B$2:$B$7),"" ))</f>
        <v/>
      </c>
      <c r="AI104" s="15" t="str">
        <f>IF($E104="","",IF($O104=0,0,IFERROR($AH104/MAX(Weights!$B$8,$Y104)/MAX(Weights!$B$9,IF($Z104="",0,$Z104)), "")))</f>
        <v/>
      </c>
      <c r="AJ104" s="17"/>
    </row>
    <row r="105" ht="15.75" customHeight="1">
      <c r="A105" s="10"/>
      <c r="B105" s="39"/>
      <c r="C105" s="10"/>
      <c r="D105" s="10"/>
      <c r="E105" s="10"/>
      <c r="F105" s="10" t="str">
        <f>IF($E105="","",VLOOKUP($E105,Benchmark_URLs!$A$2:$L$46,4,FALSE))</f>
        <v/>
      </c>
      <c r="G105" s="10"/>
      <c r="H105" s="10" t="str">
        <f>IF($E105="","",VLOOKUP($E105,Benchmark_URLs!$A$2:$L$46,6,FALSE))</f>
        <v/>
      </c>
      <c r="I105" s="10" t="str">
        <f>IF($E105="","",VLOOKUP($E105,Benchmark_URLs!$A$2:$L$46,7,FALSE))</f>
        <v/>
      </c>
      <c r="J105" s="10" t="str">
        <f>IF($E105="","",VLOOKUP($E105,Benchmark_URLs!$A$2:$L$46,8,FALSE))</f>
        <v/>
      </c>
      <c r="K105" s="10" t="str">
        <f>IF($E105="","",VLOOKUP($E105,Benchmark_URLs!$A$2:$L$46,9,FALSE))</f>
        <v/>
      </c>
      <c r="L105" s="10" t="str">
        <f>IF($E105="","",VLOOKUP($E105,Benchmark_URLs!$A$2:$L$46,10,FALSE))</f>
        <v/>
      </c>
      <c r="M105" s="10" t="str">
        <f>IF($E105="","",VLOOKUP($E105,Benchmark_URLs!$A$2:$L$46,11,FALSE))</f>
        <v/>
      </c>
      <c r="N105" s="16"/>
      <c r="O105" s="16"/>
      <c r="P105" s="16"/>
      <c r="Q105" s="19"/>
      <c r="R105" s="19"/>
      <c r="S105" s="19"/>
      <c r="T105" s="16"/>
      <c r="U105" s="16"/>
      <c r="V105" s="16"/>
      <c r="W105" s="19"/>
      <c r="X105" s="19"/>
      <c r="Y105" s="20"/>
      <c r="Z105" s="20"/>
      <c r="AA105" s="10"/>
      <c r="AB105" s="10"/>
      <c r="AC105" s="15" t="str">
        <f t="shared" si="7"/>
        <v/>
      </c>
      <c r="AD105" s="15" t="str">
        <f t="shared" si="1"/>
        <v/>
      </c>
      <c r="AE105" s="16" t="str">
        <f t="shared" si="11"/>
        <v/>
      </c>
      <c r="AF105" s="16" t="str">
        <f>IF($E105="","",IF($H105="pdf",IFERROR(IF($X105&gt;=Weights!$B$10,1,0),0),1))</f>
        <v/>
      </c>
      <c r="AG105" s="16" t="str">
        <f t="shared" si="12"/>
        <v/>
      </c>
      <c r="AH105" s="15" t="str">
        <f>IF($E105="","",IFERROR((Weights!$B$2*$O105 + Weights!$B$3*$AE105 + Weights!$B$4*$AD105 + Weights!$B$5*(1-$AC105) + Weights!$B$6*$AF105 + Weights!$B$7*$AG105)/SUM(Weights!$B$2:$B$7),"" ))</f>
        <v/>
      </c>
      <c r="AI105" s="15" t="str">
        <f>IF($E105="","",IF($O105=0,0,IFERROR($AH105/MAX(Weights!$B$8,$Y105)/MAX(Weights!$B$9,IF($Z105="",0,$Z105)), "")))</f>
        <v/>
      </c>
      <c r="AJ105" s="17"/>
    </row>
    <row r="106" ht="15.75" customHeight="1">
      <c r="A106" s="10"/>
      <c r="B106" s="39"/>
      <c r="C106" s="10"/>
      <c r="D106" s="10"/>
      <c r="E106" s="10"/>
      <c r="F106" s="10" t="str">
        <f>IF($E106="","",VLOOKUP($E106,Benchmark_URLs!$A$2:$L$46,4,FALSE))</f>
        <v/>
      </c>
      <c r="G106" s="10"/>
      <c r="H106" s="10" t="str">
        <f>IF($E106="","",VLOOKUP($E106,Benchmark_URLs!$A$2:$L$46,6,FALSE))</f>
        <v/>
      </c>
      <c r="I106" s="10" t="str">
        <f>IF($E106="","",VLOOKUP($E106,Benchmark_URLs!$A$2:$L$46,7,FALSE))</f>
        <v/>
      </c>
      <c r="J106" s="10" t="str">
        <f>IF($E106="","",VLOOKUP($E106,Benchmark_URLs!$A$2:$L$46,8,FALSE))</f>
        <v/>
      </c>
      <c r="K106" s="10" t="str">
        <f>IF($E106="","",VLOOKUP($E106,Benchmark_URLs!$A$2:$L$46,9,FALSE))</f>
        <v/>
      </c>
      <c r="L106" s="10" t="str">
        <f>IF($E106="","",VLOOKUP($E106,Benchmark_URLs!$A$2:$L$46,10,FALSE))</f>
        <v/>
      </c>
      <c r="M106" s="10" t="str">
        <f>IF($E106="","",VLOOKUP($E106,Benchmark_URLs!$A$2:$L$46,11,FALSE))</f>
        <v/>
      </c>
      <c r="N106" s="16"/>
      <c r="O106" s="16"/>
      <c r="P106" s="16"/>
      <c r="Q106" s="19"/>
      <c r="R106" s="19"/>
      <c r="S106" s="19"/>
      <c r="T106" s="16"/>
      <c r="U106" s="16"/>
      <c r="V106" s="16"/>
      <c r="W106" s="19"/>
      <c r="X106" s="19"/>
      <c r="Y106" s="20"/>
      <c r="Z106" s="20"/>
      <c r="AA106" s="10"/>
      <c r="AB106" s="10"/>
      <c r="AC106" s="15" t="str">
        <f t="shared" si="7"/>
        <v/>
      </c>
      <c r="AD106" s="15" t="str">
        <f t="shared" si="1"/>
        <v/>
      </c>
      <c r="AE106" s="16" t="str">
        <f t="shared" si="11"/>
        <v/>
      </c>
      <c r="AF106" s="16" t="str">
        <f>IF($E106="","",IF($H106="pdf",IFERROR(IF($X106&gt;=Weights!$B$10,1,0),0),1))</f>
        <v/>
      </c>
      <c r="AG106" s="16" t="str">
        <f t="shared" si="12"/>
        <v/>
      </c>
      <c r="AH106" s="15" t="str">
        <f>IF($E106="","",IFERROR((Weights!$B$2*$O106 + Weights!$B$3*$AE106 + Weights!$B$4*$AD106 + Weights!$B$5*(1-$AC106) + Weights!$B$6*$AF106 + Weights!$B$7*$AG106)/SUM(Weights!$B$2:$B$7),"" ))</f>
        <v/>
      </c>
      <c r="AI106" s="15" t="str">
        <f>IF($E106="","",IF($O106=0,0,IFERROR($AH106/MAX(Weights!$B$8,$Y106)/MAX(Weights!$B$9,IF($Z106="",0,$Z106)), "")))</f>
        <v/>
      </c>
      <c r="AJ106" s="17"/>
    </row>
    <row r="107" ht="15.75" customHeight="1">
      <c r="A107" s="10"/>
      <c r="B107" s="39"/>
      <c r="C107" s="10"/>
      <c r="D107" s="10"/>
      <c r="E107" s="10"/>
      <c r="F107" s="10" t="str">
        <f>IF($E107="","",VLOOKUP($E107,Benchmark_URLs!$A$2:$L$46,4,FALSE))</f>
        <v/>
      </c>
      <c r="G107" s="10"/>
      <c r="H107" s="10" t="str">
        <f>IF($E107="","",VLOOKUP($E107,Benchmark_URLs!$A$2:$L$46,6,FALSE))</f>
        <v/>
      </c>
      <c r="I107" s="10" t="str">
        <f>IF($E107="","",VLOOKUP($E107,Benchmark_URLs!$A$2:$L$46,7,FALSE))</f>
        <v/>
      </c>
      <c r="J107" s="10" t="str">
        <f>IF($E107="","",VLOOKUP($E107,Benchmark_URLs!$A$2:$L$46,8,FALSE))</f>
        <v/>
      </c>
      <c r="K107" s="10" t="str">
        <f>IF($E107="","",VLOOKUP($E107,Benchmark_URLs!$A$2:$L$46,9,FALSE))</f>
        <v/>
      </c>
      <c r="L107" s="10" t="str">
        <f>IF($E107="","",VLOOKUP($E107,Benchmark_URLs!$A$2:$L$46,10,FALSE))</f>
        <v/>
      </c>
      <c r="M107" s="10" t="str">
        <f>IF($E107="","",VLOOKUP($E107,Benchmark_URLs!$A$2:$L$46,11,FALSE))</f>
        <v/>
      </c>
      <c r="N107" s="16"/>
      <c r="O107" s="16"/>
      <c r="P107" s="16"/>
      <c r="Q107" s="19"/>
      <c r="R107" s="19"/>
      <c r="S107" s="19"/>
      <c r="T107" s="16"/>
      <c r="U107" s="16"/>
      <c r="V107" s="16"/>
      <c r="W107" s="19"/>
      <c r="X107" s="19"/>
      <c r="Y107" s="20"/>
      <c r="Z107" s="20"/>
      <c r="AA107" s="10"/>
      <c r="AB107" s="10"/>
      <c r="AC107" s="15" t="str">
        <f t="shared" si="7"/>
        <v/>
      </c>
      <c r="AD107" s="15" t="str">
        <f t="shared" si="1"/>
        <v/>
      </c>
      <c r="AE107" s="16" t="str">
        <f t="shared" si="11"/>
        <v/>
      </c>
      <c r="AF107" s="16" t="str">
        <f>IF($E107="","",IF($H107="pdf",IFERROR(IF($X107&gt;=Weights!$B$10,1,0),0),1))</f>
        <v/>
      </c>
      <c r="AG107" s="16" t="str">
        <f t="shared" si="12"/>
        <v/>
      </c>
      <c r="AH107" s="15" t="str">
        <f>IF($E107="","",IFERROR((Weights!$B$2*$O107 + Weights!$B$3*$AE107 + Weights!$B$4*$AD107 + Weights!$B$5*(1-$AC107) + Weights!$B$6*$AF107 + Weights!$B$7*$AG107)/SUM(Weights!$B$2:$B$7),"" ))</f>
        <v/>
      </c>
      <c r="AI107" s="15" t="str">
        <f>IF($E107="","",IF($O107=0,0,IFERROR($AH107/MAX(Weights!$B$8,$Y107)/MAX(Weights!$B$9,IF($Z107="",0,$Z107)), "")))</f>
        <v/>
      </c>
      <c r="AJ107" s="17"/>
    </row>
    <row r="108" ht="15.75" customHeight="1">
      <c r="A108" s="10"/>
      <c r="B108" s="39"/>
      <c r="C108" s="10"/>
      <c r="D108" s="10"/>
      <c r="E108" s="10"/>
      <c r="F108" s="10" t="str">
        <f>IF($E108="","",VLOOKUP($E108,Benchmark_URLs!$A$2:$L$46,4,FALSE))</f>
        <v/>
      </c>
      <c r="G108" s="10"/>
      <c r="H108" s="10" t="str">
        <f>IF($E108="","",VLOOKUP($E108,Benchmark_URLs!$A$2:$L$46,6,FALSE))</f>
        <v/>
      </c>
      <c r="I108" s="10" t="str">
        <f>IF($E108="","",VLOOKUP($E108,Benchmark_URLs!$A$2:$L$46,7,FALSE))</f>
        <v/>
      </c>
      <c r="J108" s="10" t="str">
        <f>IF($E108="","",VLOOKUP($E108,Benchmark_URLs!$A$2:$L$46,8,FALSE))</f>
        <v/>
      </c>
      <c r="K108" s="10" t="str">
        <f>IF($E108="","",VLOOKUP($E108,Benchmark_URLs!$A$2:$L$46,9,FALSE))</f>
        <v/>
      </c>
      <c r="L108" s="10" t="str">
        <f>IF($E108="","",VLOOKUP($E108,Benchmark_URLs!$A$2:$L$46,10,FALSE))</f>
        <v/>
      </c>
      <c r="M108" s="10" t="str">
        <f>IF($E108="","",VLOOKUP($E108,Benchmark_URLs!$A$2:$L$46,11,FALSE))</f>
        <v/>
      </c>
      <c r="N108" s="16"/>
      <c r="O108" s="16"/>
      <c r="P108" s="16"/>
      <c r="Q108" s="19"/>
      <c r="R108" s="19"/>
      <c r="S108" s="19"/>
      <c r="T108" s="16"/>
      <c r="U108" s="16"/>
      <c r="V108" s="16"/>
      <c r="W108" s="19"/>
      <c r="X108" s="19"/>
      <c r="Y108" s="20"/>
      <c r="Z108" s="20"/>
      <c r="AA108" s="10"/>
      <c r="AB108" s="10"/>
      <c r="AC108" s="15" t="str">
        <f t="shared" si="7"/>
        <v/>
      </c>
      <c r="AD108" s="15" t="str">
        <f t="shared" si="1"/>
        <v/>
      </c>
      <c r="AE108" s="16" t="str">
        <f t="shared" si="11"/>
        <v/>
      </c>
      <c r="AF108" s="16" t="str">
        <f>IF($E108="","",IF($H108="pdf",IFERROR(IF($X108&gt;=Weights!$B$10,1,0),0),1))</f>
        <v/>
      </c>
      <c r="AG108" s="16" t="str">
        <f t="shared" si="12"/>
        <v/>
      </c>
      <c r="AH108" s="15" t="str">
        <f>IF($E108="","",IFERROR((Weights!$B$2*$O108 + Weights!$B$3*$AE108 + Weights!$B$4*$AD108 + Weights!$B$5*(1-$AC108) + Weights!$B$6*$AF108 + Weights!$B$7*$AG108)/SUM(Weights!$B$2:$B$7),"" ))</f>
        <v/>
      </c>
      <c r="AI108" s="15" t="str">
        <f>IF($E108="","",IF($O108=0,0,IFERROR($AH108/MAX(Weights!$B$8,$Y108)/MAX(Weights!$B$9,IF($Z108="",0,$Z108)), "")))</f>
        <v/>
      </c>
      <c r="AJ108" s="17"/>
    </row>
    <row r="109" ht="15.75" customHeight="1">
      <c r="A109" s="10"/>
      <c r="B109" s="39"/>
      <c r="C109" s="10"/>
      <c r="D109" s="10"/>
      <c r="E109" s="10"/>
      <c r="F109" s="10" t="str">
        <f>IF($E109="","",VLOOKUP($E109,Benchmark_URLs!$A$2:$L$46,4,FALSE))</f>
        <v/>
      </c>
      <c r="G109" s="10"/>
      <c r="H109" s="10" t="str">
        <f>IF($E109="","",VLOOKUP($E109,Benchmark_URLs!$A$2:$L$46,6,FALSE))</f>
        <v/>
      </c>
      <c r="I109" s="10" t="str">
        <f>IF($E109="","",VLOOKUP($E109,Benchmark_URLs!$A$2:$L$46,7,FALSE))</f>
        <v/>
      </c>
      <c r="J109" s="10" t="str">
        <f>IF($E109="","",VLOOKUP($E109,Benchmark_URLs!$A$2:$L$46,8,FALSE))</f>
        <v/>
      </c>
      <c r="K109" s="10" t="str">
        <f>IF($E109="","",VLOOKUP($E109,Benchmark_URLs!$A$2:$L$46,9,FALSE))</f>
        <v/>
      </c>
      <c r="L109" s="10" t="str">
        <f>IF($E109="","",VLOOKUP($E109,Benchmark_URLs!$A$2:$L$46,10,FALSE))</f>
        <v/>
      </c>
      <c r="M109" s="10" t="str">
        <f>IF($E109="","",VLOOKUP($E109,Benchmark_URLs!$A$2:$L$46,11,FALSE))</f>
        <v/>
      </c>
      <c r="N109" s="16"/>
      <c r="O109" s="16"/>
      <c r="P109" s="16"/>
      <c r="Q109" s="19"/>
      <c r="R109" s="19"/>
      <c r="S109" s="19"/>
      <c r="T109" s="16"/>
      <c r="U109" s="16"/>
      <c r="V109" s="16"/>
      <c r="W109" s="19"/>
      <c r="X109" s="19"/>
      <c r="Y109" s="20"/>
      <c r="Z109" s="20"/>
      <c r="AA109" s="10"/>
      <c r="AB109" s="10"/>
      <c r="AC109" s="15" t="str">
        <f t="shared" si="7"/>
        <v/>
      </c>
      <c r="AD109" s="15" t="str">
        <f t="shared" si="1"/>
        <v/>
      </c>
      <c r="AE109" s="16" t="str">
        <f t="shared" si="11"/>
        <v/>
      </c>
      <c r="AF109" s="16" t="str">
        <f>IF($E109="","",IF($H109="pdf",IFERROR(IF($X109&gt;=Weights!$B$10,1,0),0),1))</f>
        <v/>
      </c>
      <c r="AG109" s="16" t="str">
        <f t="shared" si="12"/>
        <v/>
      </c>
      <c r="AH109" s="15" t="str">
        <f>IF($E109="","",IFERROR((Weights!$B$2*$O109 + Weights!$B$3*$AE109 + Weights!$B$4*$AD109 + Weights!$B$5*(1-$AC109) + Weights!$B$6*$AF109 + Weights!$B$7*$AG109)/SUM(Weights!$B$2:$B$7),"" ))</f>
        <v/>
      </c>
      <c r="AI109" s="15" t="str">
        <f>IF($E109="","",IF($O109=0,0,IFERROR($AH109/MAX(Weights!$B$8,$Y109)/MAX(Weights!$B$9,IF($Z109="",0,$Z109)), "")))</f>
        <v/>
      </c>
      <c r="AJ109" s="17"/>
    </row>
    <row r="110" ht="15.75" customHeight="1">
      <c r="A110" s="10"/>
      <c r="B110" s="39"/>
      <c r="C110" s="10"/>
      <c r="D110" s="10"/>
      <c r="E110" s="10"/>
      <c r="F110" s="10" t="str">
        <f>IF($E110="","",VLOOKUP($E110,Benchmark_URLs!$A$2:$L$46,4,FALSE))</f>
        <v/>
      </c>
      <c r="G110" s="10"/>
      <c r="H110" s="10" t="str">
        <f>IF($E110="","",VLOOKUP($E110,Benchmark_URLs!$A$2:$L$46,6,FALSE))</f>
        <v/>
      </c>
      <c r="I110" s="10" t="str">
        <f>IF($E110="","",VLOOKUP($E110,Benchmark_URLs!$A$2:$L$46,7,FALSE))</f>
        <v/>
      </c>
      <c r="J110" s="10" t="str">
        <f>IF($E110="","",VLOOKUP($E110,Benchmark_URLs!$A$2:$L$46,8,FALSE))</f>
        <v/>
      </c>
      <c r="K110" s="10" t="str">
        <f>IF($E110="","",VLOOKUP($E110,Benchmark_URLs!$A$2:$L$46,9,FALSE))</f>
        <v/>
      </c>
      <c r="L110" s="10" t="str">
        <f>IF($E110="","",VLOOKUP($E110,Benchmark_URLs!$A$2:$L$46,10,FALSE))</f>
        <v/>
      </c>
      <c r="M110" s="10" t="str">
        <f>IF($E110="","",VLOOKUP($E110,Benchmark_URLs!$A$2:$L$46,11,FALSE))</f>
        <v/>
      </c>
      <c r="N110" s="16"/>
      <c r="O110" s="16"/>
      <c r="P110" s="16"/>
      <c r="Q110" s="19"/>
      <c r="R110" s="19"/>
      <c r="S110" s="19"/>
      <c r="T110" s="16"/>
      <c r="U110" s="16"/>
      <c r="V110" s="16"/>
      <c r="W110" s="19"/>
      <c r="X110" s="19"/>
      <c r="Y110" s="20"/>
      <c r="Z110" s="20"/>
      <c r="AA110" s="10"/>
      <c r="AB110" s="10"/>
      <c r="AC110" s="15" t="str">
        <f t="shared" si="7"/>
        <v/>
      </c>
      <c r="AD110" s="15" t="str">
        <f t="shared" si="1"/>
        <v/>
      </c>
      <c r="AE110" s="16" t="str">
        <f t="shared" si="11"/>
        <v/>
      </c>
      <c r="AF110" s="16" t="str">
        <f>IF($E110="","",IF($H110="pdf",IFERROR(IF($X110&gt;=Weights!$B$10,1,0),0),1))</f>
        <v/>
      </c>
      <c r="AG110" s="16" t="str">
        <f t="shared" si="12"/>
        <v/>
      </c>
      <c r="AH110" s="15" t="str">
        <f>IF($E110="","",IFERROR((Weights!$B$2*$O110 + Weights!$B$3*$AE110 + Weights!$B$4*$AD110 + Weights!$B$5*(1-$AC110) + Weights!$B$6*$AF110 + Weights!$B$7*$AG110)/SUM(Weights!$B$2:$B$7),"" ))</f>
        <v/>
      </c>
      <c r="AI110" s="15" t="str">
        <f>IF($E110="","",IF($O110=0,0,IFERROR($AH110/MAX(Weights!$B$8,$Y110)/MAX(Weights!$B$9,IF($Z110="",0,$Z110)), "")))</f>
        <v/>
      </c>
      <c r="AJ110" s="17"/>
    </row>
    <row r="111" ht="15.75" customHeight="1">
      <c r="A111" s="10"/>
      <c r="B111" s="39"/>
      <c r="C111" s="10"/>
      <c r="D111" s="10"/>
      <c r="E111" s="10"/>
      <c r="F111" s="10" t="str">
        <f>IF($E111="","",VLOOKUP($E111,Benchmark_URLs!$A$2:$L$46,4,FALSE))</f>
        <v/>
      </c>
      <c r="G111" s="10"/>
      <c r="H111" s="10" t="str">
        <f>IF($E111="","",VLOOKUP($E111,Benchmark_URLs!$A$2:$L$46,6,FALSE))</f>
        <v/>
      </c>
      <c r="I111" s="10" t="str">
        <f>IF($E111="","",VLOOKUP($E111,Benchmark_URLs!$A$2:$L$46,7,FALSE))</f>
        <v/>
      </c>
      <c r="J111" s="10" t="str">
        <f>IF($E111="","",VLOOKUP($E111,Benchmark_URLs!$A$2:$L$46,8,FALSE))</f>
        <v/>
      </c>
      <c r="K111" s="10" t="str">
        <f>IF($E111="","",VLOOKUP($E111,Benchmark_URLs!$A$2:$L$46,9,FALSE))</f>
        <v/>
      </c>
      <c r="L111" s="10" t="str">
        <f>IF($E111="","",VLOOKUP($E111,Benchmark_URLs!$A$2:$L$46,10,FALSE))</f>
        <v/>
      </c>
      <c r="M111" s="10" t="str">
        <f>IF($E111="","",VLOOKUP($E111,Benchmark_URLs!$A$2:$L$46,11,FALSE))</f>
        <v/>
      </c>
      <c r="N111" s="16"/>
      <c r="O111" s="16"/>
      <c r="P111" s="16"/>
      <c r="Q111" s="19"/>
      <c r="R111" s="19"/>
      <c r="S111" s="19"/>
      <c r="T111" s="16"/>
      <c r="U111" s="16"/>
      <c r="V111" s="16"/>
      <c r="W111" s="19"/>
      <c r="X111" s="19"/>
      <c r="Y111" s="20"/>
      <c r="Z111" s="20"/>
      <c r="AA111" s="10"/>
      <c r="AB111" s="10"/>
      <c r="AC111" s="15" t="str">
        <f t="shared" si="7"/>
        <v/>
      </c>
      <c r="AD111" s="15" t="str">
        <f t="shared" si="1"/>
        <v/>
      </c>
      <c r="AE111" s="16" t="str">
        <f t="shared" si="11"/>
        <v/>
      </c>
      <c r="AF111" s="16" t="str">
        <f>IF($E111="","",IF($H111="pdf",IFERROR(IF($X111&gt;=Weights!$B$10,1,0),0),1))</f>
        <v/>
      </c>
      <c r="AG111" s="16" t="str">
        <f t="shared" si="12"/>
        <v/>
      </c>
      <c r="AH111" s="15" t="str">
        <f>IF($E111="","",IFERROR((Weights!$B$2*$O111 + Weights!$B$3*$AE111 + Weights!$B$4*$AD111 + Weights!$B$5*(1-$AC111) + Weights!$B$6*$AF111 + Weights!$B$7*$AG111)/SUM(Weights!$B$2:$B$7),"" ))</f>
        <v/>
      </c>
      <c r="AI111" s="15" t="str">
        <f>IF($E111="","",IF($O111=0,0,IFERROR($AH111/MAX(Weights!$B$8,$Y111)/MAX(Weights!$B$9,IF($Z111="",0,$Z111)), "")))</f>
        <v/>
      </c>
      <c r="AJ111" s="17"/>
    </row>
    <row r="112" ht="15.75" customHeight="1">
      <c r="A112" s="10"/>
      <c r="B112" s="39"/>
      <c r="C112" s="10"/>
      <c r="D112" s="10"/>
      <c r="E112" s="10"/>
      <c r="F112" s="10" t="str">
        <f>IF($E112="","",VLOOKUP($E112,Benchmark_URLs!$A$2:$L$46,4,FALSE))</f>
        <v/>
      </c>
      <c r="G112" s="10"/>
      <c r="H112" s="10" t="str">
        <f>IF($E112="","",VLOOKUP($E112,Benchmark_URLs!$A$2:$L$46,6,FALSE))</f>
        <v/>
      </c>
      <c r="I112" s="10" t="str">
        <f>IF($E112="","",VLOOKUP($E112,Benchmark_URLs!$A$2:$L$46,7,FALSE))</f>
        <v/>
      </c>
      <c r="J112" s="10" t="str">
        <f>IF($E112="","",VLOOKUP($E112,Benchmark_URLs!$A$2:$L$46,8,FALSE))</f>
        <v/>
      </c>
      <c r="K112" s="10" t="str">
        <f>IF($E112="","",VLOOKUP($E112,Benchmark_URLs!$A$2:$L$46,9,FALSE))</f>
        <v/>
      </c>
      <c r="L112" s="10" t="str">
        <f>IF($E112="","",VLOOKUP($E112,Benchmark_URLs!$A$2:$L$46,10,FALSE))</f>
        <v/>
      </c>
      <c r="M112" s="10" t="str">
        <f>IF($E112="","",VLOOKUP($E112,Benchmark_URLs!$A$2:$L$46,11,FALSE))</f>
        <v/>
      </c>
      <c r="N112" s="16"/>
      <c r="O112" s="16"/>
      <c r="P112" s="16"/>
      <c r="Q112" s="19"/>
      <c r="R112" s="19"/>
      <c r="S112" s="19"/>
      <c r="T112" s="16"/>
      <c r="U112" s="16"/>
      <c r="V112" s="16"/>
      <c r="W112" s="19"/>
      <c r="X112" s="19"/>
      <c r="Y112" s="20"/>
      <c r="Z112" s="20"/>
      <c r="AA112" s="10"/>
      <c r="AB112" s="10"/>
      <c r="AC112" s="15" t="str">
        <f t="shared" si="7"/>
        <v/>
      </c>
      <c r="AD112" s="15" t="str">
        <f t="shared" si="1"/>
        <v/>
      </c>
      <c r="AE112" s="16" t="str">
        <f t="shared" si="11"/>
        <v/>
      </c>
      <c r="AF112" s="16" t="str">
        <f>IF($E112="","",IF($H112="pdf",IFERROR(IF($X112&gt;=Weights!$B$10,1,0),0),1))</f>
        <v/>
      </c>
      <c r="AG112" s="16" t="str">
        <f t="shared" si="12"/>
        <v/>
      </c>
      <c r="AH112" s="15" t="str">
        <f>IF($E112="","",IFERROR((Weights!$B$2*$O112 + Weights!$B$3*$AE112 + Weights!$B$4*$AD112 + Weights!$B$5*(1-$AC112) + Weights!$B$6*$AF112 + Weights!$B$7*$AG112)/SUM(Weights!$B$2:$B$7),"" ))</f>
        <v/>
      </c>
      <c r="AI112" s="15" t="str">
        <f>IF($E112="","",IF($O112=0,0,IFERROR($AH112/MAX(Weights!$B$8,$Y112)/MAX(Weights!$B$9,IF($Z112="",0,$Z112)), "")))</f>
        <v/>
      </c>
      <c r="AJ112" s="17"/>
    </row>
    <row r="113" ht="15.75" customHeight="1">
      <c r="A113" s="10"/>
      <c r="B113" s="39"/>
      <c r="C113" s="10"/>
      <c r="D113" s="10"/>
      <c r="E113" s="10"/>
      <c r="F113" s="10" t="str">
        <f>IF($E113="","",VLOOKUP($E113,Benchmark_URLs!$A$2:$L$46,4,FALSE))</f>
        <v/>
      </c>
      <c r="G113" s="10"/>
      <c r="H113" s="10" t="str">
        <f>IF($E113="","",VLOOKUP($E113,Benchmark_URLs!$A$2:$L$46,6,FALSE))</f>
        <v/>
      </c>
      <c r="I113" s="10" t="str">
        <f>IF($E113="","",VLOOKUP($E113,Benchmark_URLs!$A$2:$L$46,7,FALSE))</f>
        <v/>
      </c>
      <c r="J113" s="10" t="str">
        <f>IF($E113="","",VLOOKUP($E113,Benchmark_URLs!$A$2:$L$46,8,FALSE))</f>
        <v/>
      </c>
      <c r="K113" s="10" t="str">
        <f>IF($E113="","",VLOOKUP($E113,Benchmark_URLs!$A$2:$L$46,9,FALSE))</f>
        <v/>
      </c>
      <c r="L113" s="10" t="str">
        <f>IF($E113="","",VLOOKUP($E113,Benchmark_URLs!$A$2:$L$46,10,FALSE))</f>
        <v/>
      </c>
      <c r="M113" s="10" t="str">
        <f>IF($E113="","",VLOOKUP($E113,Benchmark_URLs!$A$2:$L$46,11,FALSE))</f>
        <v/>
      </c>
      <c r="N113" s="16"/>
      <c r="O113" s="16"/>
      <c r="P113" s="16"/>
      <c r="Q113" s="19"/>
      <c r="R113" s="19"/>
      <c r="S113" s="19"/>
      <c r="T113" s="16"/>
      <c r="U113" s="16"/>
      <c r="V113" s="16"/>
      <c r="W113" s="19"/>
      <c r="X113" s="19"/>
      <c r="Y113" s="20"/>
      <c r="Z113" s="20"/>
      <c r="AA113" s="10"/>
      <c r="AB113" s="10"/>
      <c r="AC113" s="15" t="str">
        <f t="shared" si="7"/>
        <v/>
      </c>
      <c r="AD113" s="15" t="str">
        <f t="shared" si="1"/>
        <v/>
      </c>
      <c r="AE113" s="16" t="str">
        <f t="shared" si="11"/>
        <v/>
      </c>
      <c r="AF113" s="16" t="str">
        <f>IF($E113="","",IF($H113="pdf",IFERROR(IF($X113&gt;=Weights!$B$10,1,0),0),1))</f>
        <v/>
      </c>
      <c r="AG113" s="16" t="str">
        <f t="shared" si="12"/>
        <v/>
      </c>
      <c r="AH113" s="15" t="str">
        <f>IF($E113="","",IFERROR((Weights!$B$2*$O113 + Weights!$B$3*$AE113 + Weights!$B$4*$AD113 + Weights!$B$5*(1-$AC113) + Weights!$B$6*$AF113 + Weights!$B$7*$AG113)/SUM(Weights!$B$2:$B$7),"" ))</f>
        <v/>
      </c>
      <c r="AI113" s="15" t="str">
        <f>IF($E113="","",IF($O113=0,0,IFERROR($AH113/MAX(Weights!$B$8,$Y113)/MAX(Weights!$B$9,IF($Z113="",0,$Z113)), "")))</f>
        <v/>
      </c>
      <c r="AJ113" s="17"/>
    </row>
    <row r="114" ht="15.75" customHeight="1">
      <c r="A114" s="10"/>
      <c r="B114" s="39"/>
      <c r="C114" s="10"/>
      <c r="D114" s="10"/>
      <c r="E114" s="10"/>
      <c r="F114" s="10" t="str">
        <f>IF($E114="","",VLOOKUP($E114,Benchmark_URLs!$A$2:$L$46,4,FALSE))</f>
        <v/>
      </c>
      <c r="G114" s="10"/>
      <c r="H114" s="10" t="str">
        <f>IF($E114="","",VLOOKUP($E114,Benchmark_URLs!$A$2:$L$46,6,FALSE))</f>
        <v/>
      </c>
      <c r="I114" s="10" t="str">
        <f>IF($E114="","",VLOOKUP($E114,Benchmark_URLs!$A$2:$L$46,7,FALSE))</f>
        <v/>
      </c>
      <c r="J114" s="10" t="str">
        <f>IF($E114="","",VLOOKUP($E114,Benchmark_URLs!$A$2:$L$46,8,FALSE))</f>
        <v/>
      </c>
      <c r="K114" s="10" t="str">
        <f>IF($E114="","",VLOOKUP($E114,Benchmark_URLs!$A$2:$L$46,9,FALSE))</f>
        <v/>
      </c>
      <c r="L114" s="10" t="str">
        <f>IF($E114="","",VLOOKUP($E114,Benchmark_URLs!$A$2:$L$46,10,FALSE))</f>
        <v/>
      </c>
      <c r="M114" s="10" t="str">
        <f>IF($E114="","",VLOOKUP($E114,Benchmark_URLs!$A$2:$L$46,11,FALSE))</f>
        <v/>
      </c>
      <c r="N114" s="16"/>
      <c r="O114" s="16"/>
      <c r="P114" s="16"/>
      <c r="Q114" s="19"/>
      <c r="R114" s="19"/>
      <c r="S114" s="19"/>
      <c r="T114" s="16"/>
      <c r="U114" s="16"/>
      <c r="V114" s="16"/>
      <c r="W114" s="19"/>
      <c r="X114" s="19"/>
      <c r="Y114" s="20"/>
      <c r="Z114" s="20"/>
      <c r="AA114" s="10"/>
      <c r="AB114" s="10"/>
      <c r="AC114" s="15" t="str">
        <f t="shared" si="7"/>
        <v/>
      </c>
      <c r="AD114" s="15" t="str">
        <f t="shared" si="1"/>
        <v/>
      </c>
      <c r="AE114" s="16" t="str">
        <f t="shared" si="11"/>
        <v/>
      </c>
      <c r="AF114" s="16" t="str">
        <f>IF($E114="","",IF($H114="pdf",IFERROR(IF($X114&gt;=Weights!$B$10,1,0),0),1))</f>
        <v/>
      </c>
      <c r="AG114" s="16" t="str">
        <f t="shared" si="12"/>
        <v/>
      </c>
      <c r="AH114" s="15" t="str">
        <f>IF($E114="","",IFERROR((Weights!$B$2*$O114 + Weights!$B$3*$AE114 + Weights!$B$4*$AD114 + Weights!$B$5*(1-$AC114) + Weights!$B$6*$AF114 + Weights!$B$7*$AG114)/SUM(Weights!$B$2:$B$7),"" ))</f>
        <v/>
      </c>
      <c r="AI114" s="15" t="str">
        <f>IF($E114="","",IF($O114=0,0,IFERROR($AH114/MAX(Weights!$B$8,$Y114)/MAX(Weights!$B$9,IF($Z114="",0,$Z114)), "")))</f>
        <v/>
      </c>
      <c r="AJ114" s="17"/>
    </row>
    <row r="115" ht="15.75" customHeight="1">
      <c r="A115" s="10"/>
      <c r="B115" s="39"/>
      <c r="C115" s="10"/>
      <c r="D115" s="10"/>
      <c r="E115" s="10"/>
      <c r="F115" s="10" t="str">
        <f>IF($E115="","",VLOOKUP($E115,Benchmark_URLs!$A$2:$L$46,4,FALSE))</f>
        <v/>
      </c>
      <c r="G115" s="10"/>
      <c r="H115" s="10" t="str">
        <f>IF($E115="","",VLOOKUP($E115,Benchmark_URLs!$A$2:$L$46,6,FALSE))</f>
        <v/>
      </c>
      <c r="I115" s="10" t="str">
        <f>IF($E115="","",VLOOKUP($E115,Benchmark_URLs!$A$2:$L$46,7,FALSE))</f>
        <v/>
      </c>
      <c r="J115" s="10" t="str">
        <f>IF($E115="","",VLOOKUP($E115,Benchmark_URLs!$A$2:$L$46,8,FALSE))</f>
        <v/>
      </c>
      <c r="K115" s="10" t="str">
        <f>IF($E115="","",VLOOKUP($E115,Benchmark_URLs!$A$2:$L$46,9,FALSE))</f>
        <v/>
      </c>
      <c r="L115" s="10" t="str">
        <f>IF($E115="","",VLOOKUP($E115,Benchmark_URLs!$A$2:$L$46,10,FALSE))</f>
        <v/>
      </c>
      <c r="M115" s="10" t="str">
        <f>IF($E115="","",VLOOKUP($E115,Benchmark_URLs!$A$2:$L$46,11,FALSE))</f>
        <v/>
      </c>
      <c r="N115" s="16"/>
      <c r="O115" s="16"/>
      <c r="P115" s="16"/>
      <c r="Q115" s="19"/>
      <c r="R115" s="19"/>
      <c r="S115" s="19"/>
      <c r="T115" s="16"/>
      <c r="U115" s="16"/>
      <c r="V115" s="16"/>
      <c r="W115" s="19"/>
      <c r="X115" s="19"/>
      <c r="Y115" s="20"/>
      <c r="Z115" s="20"/>
      <c r="AA115" s="10"/>
      <c r="AB115" s="10"/>
      <c r="AC115" s="15" t="str">
        <f t="shared" si="7"/>
        <v/>
      </c>
      <c r="AD115" s="15" t="str">
        <f t="shared" si="1"/>
        <v/>
      </c>
      <c r="AE115" s="16" t="str">
        <f t="shared" si="11"/>
        <v/>
      </c>
      <c r="AF115" s="16" t="str">
        <f>IF($E115="","",IF($H115="pdf",IFERROR(IF($X115&gt;=Weights!$B$10,1,0),0),1))</f>
        <v/>
      </c>
      <c r="AG115" s="16" t="str">
        <f t="shared" si="12"/>
        <v/>
      </c>
      <c r="AH115" s="15" t="str">
        <f>IF($E115="","",IFERROR((Weights!$B$2*$O115 + Weights!$B$3*$AE115 + Weights!$B$4*$AD115 + Weights!$B$5*(1-$AC115) + Weights!$B$6*$AF115 + Weights!$B$7*$AG115)/SUM(Weights!$B$2:$B$7),"" ))</f>
        <v/>
      </c>
      <c r="AI115" s="15" t="str">
        <f>IF($E115="","",IF($O115=0,0,IFERROR($AH115/MAX(Weights!$B$8,$Y115)/MAX(Weights!$B$9,IF($Z115="",0,$Z115)), "")))</f>
        <v/>
      </c>
      <c r="AJ115" s="17"/>
    </row>
    <row r="116" ht="15.75" customHeight="1">
      <c r="A116" s="10"/>
      <c r="B116" s="39"/>
      <c r="C116" s="10"/>
      <c r="D116" s="10"/>
      <c r="E116" s="10"/>
      <c r="F116" s="10" t="str">
        <f>IF($E116="","",VLOOKUP($E116,Benchmark_URLs!$A$2:$L$46,4,FALSE))</f>
        <v/>
      </c>
      <c r="G116" s="10"/>
      <c r="H116" s="10" t="str">
        <f>IF($E116="","",VLOOKUP($E116,Benchmark_URLs!$A$2:$L$46,6,FALSE))</f>
        <v/>
      </c>
      <c r="I116" s="10" t="str">
        <f>IF($E116="","",VLOOKUP($E116,Benchmark_URLs!$A$2:$L$46,7,FALSE))</f>
        <v/>
      </c>
      <c r="J116" s="10" t="str">
        <f>IF($E116="","",VLOOKUP($E116,Benchmark_URLs!$A$2:$L$46,8,FALSE))</f>
        <v/>
      </c>
      <c r="K116" s="10" t="str">
        <f>IF($E116="","",VLOOKUP($E116,Benchmark_URLs!$A$2:$L$46,9,FALSE))</f>
        <v/>
      </c>
      <c r="L116" s="10" t="str">
        <f>IF($E116="","",VLOOKUP($E116,Benchmark_URLs!$A$2:$L$46,10,FALSE))</f>
        <v/>
      </c>
      <c r="M116" s="10" t="str">
        <f>IF($E116="","",VLOOKUP($E116,Benchmark_URLs!$A$2:$L$46,11,FALSE))</f>
        <v/>
      </c>
      <c r="N116" s="16"/>
      <c r="O116" s="16"/>
      <c r="P116" s="16"/>
      <c r="Q116" s="19"/>
      <c r="R116" s="19"/>
      <c r="S116" s="19"/>
      <c r="T116" s="16"/>
      <c r="U116" s="16"/>
      <c r="V116" s="16"/>
      <c r="W116" s="19"/>
      <c r="X116" s="19"/>
      <c r="Y116" s="20"/>
      <c r="Z116" s="20"/>
      <c r="AA116" s="10"/>
      <c r="AB116" s="10"/>
      <c r="AC116" s="15" t="str">
        <f t="shared" si="7"/>
        <v/>
      </c>
      <c r="AD116" s="15" t="str">
        <f t="shared" si="1"/>
        <v/>
      </c>
      <c r="AE116" s="16" t="str">
        <f t="shared" si="11"/>
        <v/>
      </c>
      <c r="AF116" s="16" t="str">
        <f>IF($E116="","",IF($H116="pdf",IFERROR(IF($X116&gt;=Weights!$B$10,1,0),0),1))</f>
        <v/>
      </c>
      <c r="AG116" s="16" t="str">
        <f t="shared" si="12"/>
        <v/>
      </c>
      <c r="AH116" s="15" t="str">
        <f>IF($E116="","",IFERROR((Weights!$B$2*$O116 + Weights!$B$3*$AE116 + Weights!$B$4*$AD116 + Weights!$B$5*(1-$AC116) + Weights!$B$6*$AF116 + Weights!$B$7*$AG116)/SUM(Weights!$B$2:$B$7),"" ))</f>
        <v/>
      </c>
      <c r="AI116" s="15" t="str">
        <f>IF($E116="","",IF($O116=0,0,IFERROR($AH116/MAX(Weights!$B$8,$Y116)/MAX(Weights!$B$9,IF($Z116="",0,$Z116)), "")))</f>
        <v/>
      </c>
      <c r="AJ116" s="17"/>
    </row>
    <row r="117" ht="15.75" customHeight="1">
      <c r="A117" s="10"/>
      <c r="B117" s="39"/>
      <c r="C117" s="10"/>
      <c r="D117" s="10"/>
      <c r="E117" s="10"/>
      <c r="F117" s="10" t="str">
        <f>IF($E117="","",VLOOKUP($E117,Benchmark_URLs!$A$2:$L$46,4,FALSE))</f>
        <v/>
      </c>
      <c r="G117" s="10"/>
      <c r="H117" s="10" t="str">
        <f>IF($E117="","",VLOOKUP($E117,Benchmark_URLs!$A$2:$L$46,6,FALSE))</f>
        <v/>
      </c>
      <c r="I117" s="10" t="str">
        <f>IF($E117="","",VLOOKUP($E117,Benchmark_URLs!$A$2:$L$46,7,FALSE))</f>
        <v/>
      </c>
      <c r="J117" s="10" t="str">
        <f>IF($E117="","",VLOOKUP($E117,Benchmark_URLs!$A$2:$L$46,8,FALSE))</f>
        <v/>
      </c>
      <c r="K117" s="10" t="str">
        <f>IF($E117="","",VLOOKUP($E117,Benchmark_URLs!$A$2:$L$46,9,FALSE))</f>
        <v/>
      </c>
      <c r="L117" s="10" t="str">
        <f>IF($E117="","",VLOOKUP($E117,Benchmark_URLs!$A$2:$L$46,10,FALSE))</f>
        <v/>
      </c>
      <c r="M117" s="10" t="str">
        <f>IF($E117="","",VLOOKUP($E117,Benchmark_URLs!$A$2:$L$46,11,FALSE))</f>
        <v/>
      </c>
      <c r="N117" s="16"/>
      <c r="O117" s="16"/>
      <c r="P117" s="16"/>
      <c r="Q117" s="19"/>
      <c r="R117" s="19"/>
      <c r="S117" s="19"/>
      <c r="T117" s="16"/>
      <c r="U117" s="16"/>
      <c r="V117" s="16"/>
      <c r="W117" s="19"/>
      <c r="X117" s="19"/>
      <c r="Y117" s="20"/>
      <c r="Z117" s="20"/>
      <c r="AA117" s="10"/>
      <c r="AB117" s="10"/>
      <c r="AC117" s="15" t="str">
        <f t="shared" si="7"/>
        <v/>
      </c>
      <c r="AD117" s="15" t="str">
        <f t="shared" si="1"/>
        <v/>
      </c>
      <c r="AE117" s="16" t="str">
        <f t="shared" si="11"/>
        <v/>
      </c>
      <c r="AF117" s="16" t="str">
        <f>IF($E117="","",IF($H117="pdf",IFERROR(IF($X117&gt;=Weights!$B$10,1,0),0),1))</f>
        <v/>
      </c>
      <c r="AG117" s="16" t="str">
        <f t="shared" si="12"/>
        <v/>
      </c>
      <c r="AH117" s="15" t="str">
        <f>IF($E117="","",IFERROR((Weights!$B$2*$O117 + Weights!$B$3*$AE117 + Weights!$B$4*$AD117 + Weights!$B$5*(1-$AC117) + Weights!$B$6*$AF117 + Weights!$B$7*$AG117)/SUM(Weights!$B$2:$B$7),"" ))</f>
        <v/>
      </c>
      <c r="AI117" s="15" t="str">
        <f>IF($E117="","",IF($O117=0,0,IFERROR($AH117/MAX(Weights!$B$8,$Y117)/MAX(Weights!$B$9,IF($Z117="",0,$Z117)), "")))</f>
        <v/>
      </c>
      <c r="AJ117" s="17"/>
    </row>
    <row r="118" ht="15.75" customHeight="1">
      <c r="A118" s="10"/>
      <c r="B118" s="39"/>
      <c r="C118" s="10"/>
      <c r="D118" s="10"/>
      <c r="E118" s="10"/>
      <c r="F118" s="10" t="str">
        <f>IF($E118="","",VLOOKUP($E118,Benchmark_URLs!$A$2:$L$46,4,FALSE))</f>
        <v/>
      </c>
      <c r="G118" s="10"/>
      <c r="H118" s="10" t="str">
        <f>IF($E118="","",VLOOKUP($E118,Benchmark_URLs!$A$2:$L$46,6,FALSE))</f>
        <v/>
      </c>
      <c r="I118" s="10" t="str">
        <f>IF($E118="","",VLOOKUP($E118,Benchmark_URLs!$A$2:$L$46,7,FALSE))</f>
        <v/>
      </c>
      <c r="J118" s="10" t="str">
        <f>IF($E118="","",VLOOKUP($E118,Benchmark_URLs!$A$2:$L$46,8,FALSE))</f>
        <v/>
      </c>
      <c r="K118" s="10" t="str">
        <f>IF($E118="","",VLOOKUP($E118,Benchmark_URLs!$A$2:$L$46,9,FALSE))</f>
        <v/>
      </c>
      <c r="L118" s="10" t="str">
        <f>IF($E118="","",VLOOKUP($E118,Benchmark_URLs!$A$2:$L$46,10,FALSE))</f>
        <v/>
      </c>
      <c r="M118" s="10" t="str">
        <f>IF($E118="","",VLOOKUP($E118,Benchmark_URLs!$A$2:$L$46,11,FALSE))</f>
        <v/>
      </c>
      <c r="N118" s="16"/>
      <c r="O118" s="16"/>
      <c r="P118" s="16"/>
      <c r="Q118" s="19"/>
      <c r="R118" s="19"/>
      <c r="S118" s="19"/>
      <c r="T118" s="16"/>
      <c r="U118" s="16"/>
      <c r="V118" s="16"/>
      <c r="W118" s="19"/>
      <c r="X118" s="19"/>
      <c r="Y118" s="20"/>
      <c r="Z118" s="20"/>
      <c r="AA118" s="10"/>
      <c r="AB118" s="10"/>
      <c r="AC118" s="15" t="str">
        <f t="shared" si="7"/>
        <v/>
      </c>
      <c r="AD118" s="15" t="str">
        <f t="shared" si="1"/>
        <v/>
      </c>
      <c r="AE118" s="16" t="str">
        <f t="shared" si="11"/>
        <v/>
      </c>
      <c r="AF118" s="16" t="str">
        <f>IF($E118="","",IF($H118="pdf",IFERROR(IF($X118&gt;=Weights!$B$10,1,0),0),1))</f>
        <v/>
      </c>
      <c r="AG118" s="16" t="str">
        <f t="shared" si="12"/>
        <v/>
      </c>
      <c r="AH118" s="15" t="str">
        <f>IF($E118="","",IFERROR((Weights!$B$2*$O118 + Weights!$B$3*$AE118 + Weights!$B$4*$AD118 + Weights!$B$5*(1-$AC118) + Weights!$B$6*$AF118 + Weights!$B$7*$AG118)/SUM(Weights!$B$2:$B$7),"" ))</f>
        <v/>
      </c>
      <c r="AI118" s="15" t="str">
        <f>IF($E118="","",IF($O118=0,0,IFERROR($AH118/MAX(Weights!$B$8,$Y118)/MAX(Weights!$B$9,IF($Z118="",0,$Z118)), "")))</f>
        <v/>
      </c>
      <c r="AJ118" s="17"/>
    </row>
    <row r="119" ht="15.75" customHeight="1">
      <c r="A119" s="10"/>
      <c r="B119" s="39"/>
      <c r="C119" s="10"/>
      <c r="D119" s="10"/>
      <c r="E119" s="10"/>
      <c r="F119" s="10" t="str">
        <f>IF($E119="","",VLOOKUP($E119,Benchmark_URLs!$A$2:$L$46,4,FALSE))</f>
        <v/>
      </c>
      <c r="G119" s="10"/>
      <c r="H119" s="10" t="str">
        <f>IF($E119="","",VLOOKUP($E119,Benchmark_URLs!$A$2:$L$46,6,FALSE))</f>
        <v/>
      </c>
      <c r="I119" s="10" t="str">
        <f>IF($E119="","",VLOOKUP($E119,Benchmark_URLs!$A$2:$L$46,7,FALSE))</f>
        <v/>
      </c>
      <c r="J119" s="10" t="str">
        <f>IF($E119="","",VLOOKUP($E119,Benchmark_URLs!$A$2:$L$46,8,FALSE))</f>
        <v/>
      </c>
      <c r="K119" s="10" t="str">
        <f>IF($E119="","",VLOOKUP($E119,Benchmark_URLs!$A$2:$L$46,9,FALSE))</f>
        <v/>
      </c>
      <c r="L119" s="10" t="str">
        <f>IF($E119="","",VLOOKUP($E119,Benchmark_URLs!$A$2:$L$46,10,FALSE))</f>
        <v/>
      </c>
      <c r="M119" s="10" t="str">
        <f>IF($E119="","",VLOOKUP($E119,Benchmark_URLs!$A$2:$L$46,11,FALSE))</f>
        <v/>
      </c>
      <c r="N119" s="16"/>
      <c r="O119" s="16"/>
      <c r="P119" s="16"/>
      <c r="Q119" s="19"/>
      <c r="R119" s="19"/>
      <c r="S119" s="19"/>
      <c r="T119" s="16"/>
      <c r="U119" s="16"/>
      <c r="V119" s="16"/>
      <c r="W119" s="19"/>
      <c r="X119" s="19"/>
      <c r="Y119" s="20"/>
      <c r="Z119" s="20"/>
      <c r="AA119" s="10"/>
      <c r="AB119" s="10"/>
      <c r="AC119" s="15" t="str">
        <f t="shared" si="7"/>
        <v/>
      </c>
      <c r="AD119" s="15" t="str">
        <f t="shared" si="1"/>
        <v/>
      </c>
      <c r="AE119" s="16" t="str">
        <f t="shared" si="11"/>
        <v/>
      </c>
      <c r="AF119" s="16" t="str">
        <f>IF($E119="","",IF($H119="pdf",IFERROR(IF($X119&gt;=Weights!$B$10,1,0),0),1))</f>
        <v/>
      </c>
      <c r="AG119" s="16" t="str">
        <f t="shared" si="12"/>
        <v/>
      </c>
      <c r="AH119" s="15" t="str">
        <f>IF($E119="","",IFERROR((Weights!$B$2*$O119 + Weights!$B$3*$AE119 + Weights!$B$4*$AD119 + Weights!$B$5*(1-$AC119) + Weights!$B$6*$AF119 + Weights!$B$7*$AG119)/SUM(Weights!$B$2:$B$7),"" ))</f>
        <v/>
      </c>
      <c r="AI119" s="15" t="str">
        <f>IF($E119="","",IF($O119=0,0,IFERROR($AH119/MAX(Weights!$B$8,$Y119)/MAX(Weights!$B$9,IF($Z119="",0,$Z119)), "")))</f>
        <v/>
      </c>
      <c r="AJ119" s="17"/>
    </row>
    <row r="120" ht="15.75" customHeight="1">
      <c r="A120" s="10"/>
      <c r="B120" s="39"/>
      <c r="C120" s="10"/>
      <c r="D120" s="10"/>
      <c r="E120" s="10"/>
      <c r="F120" s="10" t="str">
        <f>IF($E120="","",VLOOKUP($E120,Benchmark_URLs!$A$2:$L$46,4,FALSE))</f>
        <v/>
      </c>
      <c r="G120" s="10"/>
      <c r="H120" s="10" t="str">
        <f>IF($E120="","",VLOOKUP($E120,Benchmark_URLs!$A$2:$L$46,6,FALSE))</f>
        <v/>
      </c>
      <c r="I120" s="10" t="str">
        <f>IF($E120="","",VLOOKUP($E120,Benchmark_URLs!$A$2:$L$46,7,FALSE))</f>
        <v/>
      </c>
      <c r="J120" s="10" t="str">
        <f>IF($E120="","",VLOOKUP($E120,Benchmark_URLs!$A$2:$L$46,8,FALSE))</f>
        <v/>
      </c>
      <c r="K120" s="10" t="str">
        <f>IF($E120="","",VLOOKUP($E120,Benchmark_URLs!$A$2:$L$46,9,FALSE))</f>
        <v/>
      </c>
      <c r="L120" s="10" t="str">
        <f>IF($E120="","",VLOOKUP($E120,Benchmark_URLs!$A$2:$L$46,10,FALSE))</f>
        <v/>
      </c>
      <c r="M120" s="10" t="str">
        <f>IF($E120="","",VLOOKUP($E120,Benchmark_URLs!$A$2:$L$46,11,FALSE))</f>
        <v/>
      </c>
      <c r="N120" s="16"/>
      <c r="O120" s="16"/>
      <c r="P120" s="16"/>
      <c r="Q120" s="19"/>
      <c r="R120" s="19"/>
      <c r="S120" s="19"/>
      <c r="T120" s="16"/>
      <c r="U120" s="16"/>
      <c r="V120" s="16"/>
      <c r="W120" s="19"/>
      <c r="X120" s="19"/>
      <c r="Y120" s="20"/>
      <c r="Z120" s="20"/>
      <c r="AA120" s="10"/>
      <c r="AB120" s="10"/>
      <c r="AC120" s="15" t="str">
        <f t="shared" si="7"/>
        <v/>
      </c>
      <c r="AD120" s="15" t="str">
        <f t="shared" si="1"/>
        <v/>
      </c>
      <c r="AE120" s="16" t="str">
        <f t="shared" si="11"/>
        <v/>
      </c>
      <c r="AF120" s="16" t="str">
        <f>IF($E120="","",IF($H120="pdf",IFERROR(IF($X120&gt;=Weights!$B$10,1,0),0),1))</f>
        <v/>
      </c>
      <c r="AG120" s="16" t="str">
        <f t="shared" si="12"/>
        <v/>
      </c>
      <c r="AH120" s="15" t="str">
        <f>IF($E120="","",IFERROR((Weights!$B$2*$O120 + Weights!$B$3*$AE120 + Weights!$B$4*$AD120 + Weights!$B$5*(1-$AC120) + Weights!$B$6*$AF120 + Weights!$B$7*$AG120)/SUM(Weights!$B$2:$B$7),"" ))</f>
        <v/>
      </c>
      <c r="AI120" s="15" t="str">
        <f>IF($E120="","",IF($O120=0,0,IFERROR($AH120/MAX(Weights!$B$8,$Y120)/MAX(Weights!$B$9,IF($Z120="",0,$Z120)), "")))</f>
        <v/>
      </c>
      <c r="AJ120" s="17"/>
    </row>
    <row r="121" ht="15.75" customHeight="1">
      <c r="A121" s="10"/>
      <c r="B121" s="39"/>
      <c r="C121" s="10"/>
      <c r="D121" s="10"/>
      <c r="E121" s="10"/>
      <c r="F121" s="10" t="str">
        <f>IF($E121="","",VLOOKUP($E121,Benchmark_URLs!$A$2:$L$46,4,FALSE))</f>
        <v/>
      </c>
      <c r="G121" s="10"/>
      <c r="H121" s="10" t="str">
        <f>IF($E121="","",VLOOKUP($E121,Benchmark_URLs!$A$2:$L$46,6,FALSE))</f>
        <v/>
      </c>
      <c r="I121" s="10" t="str">
        <f>IF($E121="","",VLOOKUP($E121,Benchmark_URLs!$A$2:$L$46,7,FALSE))</f>
        <v/>
      </c>
      <c r="J121" s="10" t="str">
        <f>IF($E121="","",VLOOKUP($E121,Benchmark_URLs!$A$2:$L$46,8,FALSE))</f>
        <v/>
      </c>
      <c r="K121" s="10" t="str">
        <f>IF($E121="","",VLOOKUP($E121,Benchmark_URLs!$A$2:$L$46,9,FALSE))</f>
        <v/>
      </c>
      <c r="L121" s="10" t="str">
        <f>IF($E121="","",VLOOKUP($E121,Benchmark_URLs!$A$2:$L$46,10,FALSE))</f>
        <v/>
      </c>
      <c r="M121" s="10" t="str">
        <f>IF($E121="","",VLOOKUP($E121,Benchmark_URLs!$A$2:$L$46,11,FALSE))</f>
        <v/>
      </c>
      <c r="N121" s="16"/>
      <c r="O121" s="16"/>
      <c r="P121" s="16"/>
      <c r="Q121" s="19"/>
      <c r="R121" s="19"/>
      <c r="S121" s="19"/>
      <c r="T121" s="16"/>
      <c r="U121" s="16"/>
      <c r="V121" s="16"/>
      <c r="W121" s="19"/>
      <c r="X121" s="19"/>
      <c r="Y121" s="20"/>
      <c r="Z121" s="20"/>
      <c r="AA121" s="10"/>
      <c r="AB121" s="10"/>
      <c r="AC121" s="15" t="str">
        <f t="shared" si="7"/>
        <v/>
      </c>
      <c r="AD121" s="15" t="str">
        <f t="shared" si="1"/>
        <v/>
      </c>
      <c r="AE121" s="16" t="str">
        <f t="shared" si="11"/>
        <v/>
      </c>
      <c r="AF121" s="16" t="str">
        <f>IF($E121="","",IF($H121="pdf",IFERROR(IF($X121&gt;=Weights!$B$10,1,0),0),1))</f>
        <v/>
      </c>
      <c r="AG121" s="16" t="str">
        <f t="shared" si="12"/>
        <v/>
      </c>
      <c r="AH121" s="15" t="str">
        <f>IF($E121="","",IFERROR((Weights!$B$2*$O121 + Weights!$B$3*$AE121 + Weights!$B$4*$AD121 + Weights!$B$5*(1-$AC121) + Weights!$B$6*$AF121 + Weights!$B$7*$AG121)/SUM(Weights!$B$2:$B$7),"" ))</f>
        <v/>
      </c>
      <c r="AI121" s="15" t="str">
        <f>IF($E121="","",IF($O121=0,0,IFERROR($AH121/MAX(Weights!$B$8,$Y121)/MAX(Weights!$B$9,IF($Z121="",0,$Z121)), "")))</f>
        <v/>
      </c>
      <c r="AJ121" s="17"/>
    </row>
    <row r="122" ht="15.75" customHeight="1">
      <c r="A122" s="10"/>
      <c r="B122" s="39"/>
      <c r="C122" s="10"/>
      <c r="D122" s="10"/>
      <c r="E122" s="10"/>
      <c r="F122" s="10" t="str">
        <f>IF($E122="","",VLOOKUP($E122,Benchmark_URLs!$A$2:$L$46,4,FALSE))</f>
        <v/>
      </c>
      <c r="G122" s="10"/>
      <c r="H122" s="10" t="str">
        <f>IF($E122="","",VLOOKUP($E122,Benchmark_URLs!$A$2:$L$46,6,FALSE))</f>
        <v/>
      </c>
      <c r="I122" s="10" t="str">
        <f>IF($E122="","",VLOOKUP($E122,Benchmark_URLs!$A$2:$L$46,7,FALSE))</f>
        <v/>
      </c>
      <c r="J122" s="10" t="str">
        <f>IF($E122="","",VLOOKUP($E122,Benchmark_URLs!$A$2:$L$46,8,FALSE))</f>
        <v/>
      </c>
      <c r="K122" s="10" t="str">
        <f>IF($E122="","",VLOOKUP($E122,Benchmark_URLs!$A$2:$L$46,9,FALSE))</f>
        <v/>
      </c>
      <c r="L122" s="10" t="str">
        <f>IF($E122="","",VLOOKUP($E122,Benchmark_URLs!$A$2:$L$46,10,FALSE))</f>
        <v/>
      </c>
      <c r="M122" s="10" t="str">
        <f>IF($E122="","",VLOOKUP($E122,Benchmark_URLs!$A$2:$L$46,11,FALSE))</f>
        <v/>
      </c>
      <c r="N122" s="16"/>
      <c r="O122" s="16"/>
      <c r="P122" s="16"/>
      <c r="Q122" s="19"/>
      <c r="R122" s="19"/>
      <c r="S122" s="19"/>
      <c r="T122" s="16"/>
      <c r="U122" s="16"/>
      <c r="V122" s="16"/>
      <c r="W122" s="19"/>
      <c r="X122" s="19"/>
      <c r="Y122" s="20"/>
      <c r="Z122" s="20"/>
      <c r="AA122" s="10"/>
      <c r="AB122" s="10"/>
      <c r="AC122" s="15" t="str">
        <f t="shared" si="7"/>
        <v/>
      </c>
      <c r="AD122" s="15" t="str">
        <f t="shared" si="1"/>
        <v/>
      </c>
      <c r="AE122" s="16" t="str">
        <f t="shared" si="11"/>
        <v/>
      </c>
      <c r="AF122" s="16" t="str">
        <f>IF($E122="","",IF($H122="pdf",IFERROR(IF($X122&gt;=Weights!$B$10,1,0),0),1))</f>
        <v/>
      </c>
      <c r="AG122" s="16" t="str">
        <f t="shared" si="12"/>
        <v/>
      </c>
      <c r="AH122" s="15" t="str">
        <f>IF($E122="","",IFERROR((Weights!$B$2*$O122 + Weights!$B$3*$AE122 + Weights!$B$4*$AD122 + Weights!$B$5*(1-$AC122) + Weights!$B$6*$AF122 + Weights!$B$7*$AG122)/SUM(Weights!$B$2:$B$7),"" ))</f>
        <v/>
      </c>
      <c r="AI122" s="15" t="str">
        <f>IF($E122="","",IF($O122=0,0,IFERROR($AH122/MAX(Weights!$B$8,$Y122)/MAX(Weights!$B$9,IF($Z122="",0,$Z122)), "")))</f>
        <v/>
      </c>
      <c r="AJ122" s="17"/>
    </row>
    <row r="123" ht="15.75" customHeight="1">
      <c r="A123" s="10"/>
      <c r="B123" s="39"/>
      <c r="C123" s="10"/>
      <c r="D123" s="10"/>
      <c r="E123" s="10"/>
      <c r="F123" s="10" t="str">
        <f>IF($E123="","",VLOOKUP($E123,Benchmark_URLs!$A$2:$L$46,4,FALSE))</f>
        <v/>
      </c>
      <c r="G123" s="10"/>
      <c r="H123" s="10" t="str">
        <f>IF($E123="","",VLOOKUP($E123,Benchmark_URLs!$A$2:$L$46,6,FALSE))</f>
        <v/>
      </c>
      <c r="I123" s="10" t="str">
        <f>IF($E123="","",VLOOKUP($E123,Benchmark_URLs!$A$2:$L$46,7,FALSE))</f>
        <v/>
      </c>
      <c r="J123" s="10" t="str">
        <f>IF($E123="","",VLOOKUP($E123,Benchmark_URLs!$A$2:$L$46,8,FALSE))</f>
        <v/>
      </c>
      <c r="K123" s="10" t="str">
        <f>IF($E123="","",VLOOKUP($E123,Benchmark_URLs!$A$2:$L$46,9,FALSE))</f>
        <v/>
      </c>
      <c r="L123" s="10" t="str">
        <f>IF($E123="","",VLOOKUP($E123,Benchmark_URLs!$A$2:$L$46,10,FALSE))</f>
        <v/>
      </c>
      <c r="M123" s="10" t="str">
        <f>IF($E123="","",VLOOKUP($E123,Benchmark_URLs!$A$2:$L$46,11,FALSE))</f>
        <v/>
      </c>
      <c r="N123" s="16"/>
      <c r="O123" s="16"/>
      <c r="P123" s="16"/>
      <c r="Q123" s="19"/>
      <c r="R123" s="19"/>
      <c r="S123" s="19"/>
      <c r="T123" s="16"/>
      <c r="U123" s="16"/>
      <c r="V123" s="16"/>
      <c r="W123" s="19"/>
      <c r="X123" s="19"/>
      <c r="Y123" s="20"/>
      <c r="Z123" s="20"/>
      <c r="AA123" s="10"/>
      <c r="AB123" s="10"/>
      <c r="AC123" s="15" t="str">
        <f t="shared" si="7"/>
        <v/>
      </c>
      <c r="AD123" s="15" t="str">
        <f t="shared" si="1"/>
        <v/>
      </c>
      <c r="AE123" s="16" t="str">
        <f t="shared" si="11"/>
        <v/>
      </c>
      <c r="AF123" s="16" t="str">
        <f>IF($E123="","",IF($H123="pdf",IFERROR(IF($X123&gt;=Weights!$B$10,1,0),0),1))</f>
        <v/>
      </c>
      <c r="AG123" s="16" t="str">
        <f t="shared" si="12"/>
        <v/>
      </c>
      <c r="AH123" s="15" t="str">
        <f>IF($E123="","",IFERROR((Weights!$B$2*$O123 + Weights!$B$3*$AE123 + Weights!$B$4*$AD123 + Weights!$B$5*(1-$AC123) + Weights!$B$6*$AF123 + Weights!$B$7*$AG123)/SUM(Weights!$B$2:$B$7),"" ))</f>
        <v/>
      </c>
      <c r="AI123" s="15" t="str">
        <f>IF($E123="","",IF($O123=0,0,IFERROR($AH123/MAX(Weights!$B$8,$Y123)/MAX(Weights!$B$9,IF($Z123="",0,$Z123)), "")))</f>
        <v/>
      </c>
      <c r="AJ123" s="17"/>
    </row>
    <row r="124" ht="15.75" customHeight="1">
      <c r="A124" s="10"/>
      <c r="B124" s="39"/>
      <c r="C124" s="10"/>
      <c r="D124" s="10"/>
      <c r="E124" s="10"/>
      <c r="F124" s="10" t="str">
        <f>IF($E124="","",VLOOKUP($E124,Benchmark_URLs!$A$2:$L$46,4,FALSE))</f>
        <v/>
      </c>
      <c r="G124" s="10"/>
      <c r="H124" s="10" t="str">
        <f>IF($E124="","",VLOOKUP($E124,Benchmark_URLs!$A$2:$L$46,6,FALSE))</f>
        <v/>
      </c>
      <c r="I124" s="10" t="str">
        <f>IF($E124="","",VLOOKUP($E124,Benchmark_URLs!$A$2:$L$46,7,FALSE))</f>
        <v/>
      </c>
      <c r="J124" s="10" t="str">
        <f>IF($E124="","",VLOOKUP($E124,Benchmark_URLs!$A$2:$L$46,8,FALSE))</f>
        <v/>
      </c>
      <c r="K124" s="10" t="str">
        <f>IF($E124="","",VLOOKUP($E124,Benchmark_URLs!$A$2:$L$46,9,FALSE))</f>
        <v/>
      </c>
      <c r="L124" s="10" t="str">
        <f>IF($E124="","",VLOOKUP($E124,Benchmark_URLs!$A$2:$L$46,10,FALSE))</f>
        <v/>
      </c>
      <c r="M124" s="10" t="str">
        <f>IF($E124="","",VLOOKUP($E124,Benchmark_URLs!$A$2:$L$46,11,FALSE))</f>
        <v/>
      </c>
      <c r="N124" s="16"/>
      <c r="O124" s="16"/>
      <c r="P124" s="16"/>
      <c r="Q124" s="19"/>
      <c r="R124" s="19"/>
      <c r="S124" s="19"/>
      <c r="T124" s="16"/>
      <c r="U124" s="16"/>
      <c r="V124" s="16"/>
      <c r="W124" s="19"/>
      <c r="X124" s="19"/>
      <c r="Y124" s="20"/>
      <c r="Z124" s="20"/>
      <c r="AA124" s="10"/>
      <c r="AB124" s="10"/>
      <c r="AC124" s="15" t="str">
        <f t="shared" si="7"/>
        <v/>
      </c>
      <c r="AD124" s="15" t="str">
        <f t="shared" si="1"/>
        <v/>
      </c>
      <c r="AE124" s="16" t="str">
        <f t="shared" si="11"/>
        <v/>
      </c>
      <c r="AF124" s="16" t="str">
        <f>IF($E124="","",IF($H124="pdf",IFERROR(IF($X124&gt;=Weights!$B$10,1,0),0),1))</f>
        <v/>
      </c>
      <c r="AG124" s="16" t="str">
        <f t="shared" si="12"/>
        <v/>
      </c>
      <c r="AH124" s="15" t="str">
        <f>IF($E124="","",IFERROR((Weights!$B$2*$O124 + Weights!$B$3*$AE124 + Weights!$B$4*$AD124 + Weights!$B$5*(1-$AC124) + Weights!$B$6*$AF124 + Weights!$B$7*$AG124)/SUM(Weights!$B$2:$B$7),"" ))</f>
        <v/>
      </c>
      <c r="AI124" s="15" t="str">
        <f>IF($E124="","",IF($O124=0,0,IFERROR($AH124/MAX(Weights!$B$8,$Y124)/MAX(Weights!$B$9,IF($Z124="",0,$Z124)), "")))</f>
        <v/>
      </c>
      <c r="AJ124" s="17"/>
    </row>
    <row r="125" ht="15.75" customHeight="1">
      <c r="A125" s="10"/>
      <c r="B125" s="39"/>
      <c r="C125" s="10"/>
      <c r="D125" s="10"/>
      <c r="E125" s="10"/>
      <c r="F125" s="10" t="str">
        <f>IF($E125="","",VLOOKUP($E125,Benchmark_URLs!$A$2:$L$46,4,FALSE))</f>
        <v/>
      </c>
      <c r="G125" s="10"/>
      <c r="H125" s="10" t="str">
        <f>IF($E125="","",VLOOKUP($E125,Benchmark_URLs!$A$2:$L$46,6,FALSE))</f>
        <v/>
      </c>
      <c r="I125" s="10" t="str">
        <f>IF($E125="","",VLOOKUP($E125,Benchmark_URLs!$A$2:$L$46,7,FALSE))</f>
        <v/>
      </c>
      <c r="J125" s="10" t="str">
        <f>IF($E125="","",VLOOKUP($E125,Benchmark_URLs!$A$2:$L$46,8,FALSE))</f>
        <v/>
      </c>
      <c r="K125" s="10" t="str">
        <f>IF($E125="","",VLOOKUP($E125,Benchmark_URLs!$A$2:$L$46,9,FALSE))</f>
        <v/>
      </c>
      <c r="L125" s="10" t="str">
        <f>IF($E125="","",VLOOKUP($E125,Benchmark_URLs!$A$2:$L$46,10,FALSE))</f>
        <v/>
      </c>
      <c r="M125" s="10" t="str">
        <f>IF($E125="","",VLOOKUP($E125,Benchmark_URLs!$A$2:$L$46,11,FALSE))</f>
        <v/>
      </c>
      <c r="N125" s="16"/>
      <c r="O125" s="16"/>
      <c r="P125" s="16"/>
      <c r="Q125" s="19"/>
      <c r="R125" s="19"/>
      <c r="S125" s="19"/>
      <c r="T125" s="16"/>
      <c r="U125" s="16"/>
      <c r="V125" s="16"/>
      <c r="W125" s="19"/>
      <c r="X125" s="19"/>
      <c r="Y125" s="20"/>
      <c r="Z125" s="20"/>
      <c r="AA125" s="10"/>
      <c r="AB125" s="10"/>
      <c r="AC125" s="15" t="str">
        <f t="shared" si="7"/>
        <v/>
      </c>
      <c r="AD125" s="15" t="str">
        <f t="shared" si="1"/>
        <v/>
      </c>
      <c r="AE125" s="16" t="str">
        <f t="shared" si="11"/>
        <v/>
      </c>
      <c r="AF125" s="16" t="str">
        <f>IF($E125="","",IF($H125="pdf",IFERROR(IF($X125&gt;=Weights!$B$10,1,0),0),1))</f>
        <v/>
      </c>
      <c r="AG125" s="16" t="str">
        <f t="shared" si="12"/>
        <v/>
      </c>
      <c r="AH125" s="15" t="str">
        <f>IF($E125="","",IFERROR((Weights!$B$2*$O125 + Weights!$B$3*$AE125 + Weights!$B$4*$AD125 + Weights!$B$5*(1-$AC125) + Weights!$B$6*$AF125 + Weights!$B$7*$AG125)/SUM(Weights!$B$2:$B$7),"" ))</f>
        <v/>
      </c>
      <c r="AI125" s="15" t="str">
        <f>IF($E125="","",IF($O125=0,0,IFERROR($AH125/MAX(Weights!$B$8,$Y125)/MAX(Weights!$B$9,IF($Z125="",0,$Z125)), "")))</f>
        <v/>
      </c>
      <c r="AJ125" s="17"/>
    </row>
    <row r="126" ht="15.75" customHeight="1">
      <c r="A126" s="10"/>
      <c r="B126" s="39"/>
      <c r="C126" s="10"/>
      <c r="D126" s="10"/>
      <c r="E126" s="10"/>
      <c r="F126" s="10" t="str">
        <f>IF($E126="","",VLOOKUP($E126,Benchmark_URLs!$A$2:$L$46,4,FALSE))</f>
        <v/>
      </c>
      <c r="G126" s="10"/>
      <c r="H126" s="10" t="str">
        <f>IF($E126="","",VLOOKUP($E126,Benchmark_URLs!$A$2:$L$46,6,FALSE))</f>
        <v/>
      </c>
      <c r="I126" s="10" t="str">
        <f>IF($E126="","",VLOOKUP($E126,Benchmark_URLs!$A$2:$L$46,7,FALSE))</f>
        <v/>
      </c>
      <c r="J126" s="10" t="str">
        <f>IF($E126="","",VLOOKUP($E126,Benchmark_URLs!$A$2:$L$46,8,FALSE))</f>
        <v/>
      </c>
      <c r="K126" s="10" t="str">
        <f>IF($E126="","",VLOOKUP($E126,Benchmark_URLs!$A$2:$L$46,9,FALSE))</f>
        <v/>
      </c>
      <c r="L126" s="10" t="str">
        <f>IF($E126="","",VLOOKUP($E126,Benchmark_URLs!$A$2:$L$46,10,FALSE))</f>
        <v/>
      </c>
      <c r="M126" s="10" t="str">
        <f>IF($E126="","",VLOOKUP($E126,Benchmark_URLs!$A$2:$L$46,11,FALSE))</f>
        <v/>
      </c>
      <c r="N126" s="16"/>
      <c r="O126" s="16"/>
      <c r="P126" s="16"/>
      <c r="Q126" s="19"/>
      <c r="R126" s="19"/>
      <c r="S126" s="19"/>
      <c r="T126" s="16"/>
      <c r="U126" s="16"/>
      <c r="V126" s="16"/>
      <c r="W126" s="19"/>
      <c r="X126" s="19"/>
      <c r="Y126" s="20"/>
      <c r="Z126" s="20"/>
      <c r="AA126" s="10"/>
      <c r="AB126" s="10"/>
      <c r="AC126" s="15" t="str">
        <f t="shared" si="7"/>
        <v/>
      </c>
      <c r="AD126" s="15" t="str">
        <f t="shared" si="1"/>
        <v/>
      </c>
      <c r="AE126" s="16" t="str">
        <f t="shared" si="11"/>
        <v/>
      </c>
      <c r="AF126" s="16" t="str">
        <f>IF($E126="","",IF($H126="pdf",IFERROR(IF($X126&gt;=Weights!$B$10,1,0),0),1))</f>
        <v/>
      </c>
      <c r="AG126" s="16" t="str">
        <f t="shared" si="12"/>
        <v/>
      </c>
      <c r="AH126" s="15" t="str">
        <f>IF($E126="","",IFERROR((Weights!$B$2*$O126 + Weights!$B$3*$AE126 + Weights!$B$4*$AD126 + Weights!$B$5*(1-$AC126) + Weights!$B$6*$AF126 + Weights!$B$7*$AG126)/SUM(Weights!$B$2:$B$7),"" ))</f>
        <v/>
      </c>
      <c r="AI126" s="15" t="str">
        <f>IF($E126="","",IF($O126=0,0,IFERROR($AH126/MAX(Weights!$B$8,$Y126)/MAX(Weights!$B$9,IF($Z126="",0,$Z126)), "")))</f>
        <v/>
      </c>
      <c r="AJ126" s="17"/>
    </row>
    <row r="127" ht="15.75" customHeight="1">
      <c r="A127" s="10"/>
      <c r="B127" s="39"/>
      <c r="C127" s="10"/>
      <c r="D127" s="10"/>
      <c r="E127" s="10"/>
      <c r="F127" s="10" t="str">
        <f>IF($E127="","",VLOOKUP($E127,Benchmark_URLs!$A$2:$L$46,4,FALSE))</f>
        <v/>
      </c>
      <c r="G127" s="10"/>
      <c r="H127" s="10" t="str">
        <f>IF($E127="","",VLOOKUP($E127,Benchmark_URLs!$A$2:$L$46,6,FALSE))</f>
        <v/>
      </c>
      <c r="I127" s="10" t="str">
        <f>IF($E127="","",VLOOKUP($E127,Benchmark_URLs!$A$2:$L$46,7,FALSE))</f>
        <v/>
      </c>
      <c r="J127" s="10" t="str">
        <f>IF($E127="","",VLOOKUP($E127,Benchmark_URLs!$A$2:$L$46,8,FALSE))</f>
        <v/>
      </c>
      <c r="K127" s="10" t="str">
        <f>IF($E127="","",VLOOKUP($E127,Benchmark_URLs!$A$2:$L$46,9,FALSE))</f>
        <v/>
      </c>
      <c r="L127" s="10" t="str">
        <f>IF($E127="","",VLOOKUP($E127,Benchmark_URLs!$A$2:$L$46,10,FALSE))</f>
        <v/>
      </c>
      <c r="M127" s="10" t="str">
        <f>IF($E127="","",VLOOKUP($E127,Benchmark_URLs!$A$2:$L$46,11,FALSE))</f>
        <v/>
      </c>
      <c r="N127" s="16"/>
      <c r="O127" s="16"/>
      <c r="P127" s="16"/>
      <c r="Q127" s="19"/>
      <c r="R127" s="19"/>
      <c r="S127" s="19"/>
      <c r="T127" s="16"/>
      <c r="U127" s="16"/>
      <c r="V127" s="16"/>
      <c r="W127" s="19"/>
      <c r="X127" s="19"/>
      <c r="Y127" s="20"/>
      <c r="Z127" s="20"/>
      <c r="AA127" s="10"/>
      <c r="AB127" s="10"/>
      <c r="AC127" s="15" t="str">
        <f t="shared" si="7"/>
        <v/>
      </c>
      <c r="AD127" s="15" t="str">
        <f t="shared" si="1"/>
        <v/>
      </c>
      <c r="AE127" s="16" t="str">
        <f t="shared" si="11"/>
        <v/>
      </c>
      <c r="AF127" s="16" t="str">
        <f>IF($E127="","",IF($H127="pdf",IFERROR(IF($X127&gt;=Weights!$B$10,1,0),0),1))</f>
        <v/>
      </c>
      <c r="AG127" s="16" t="str">
        <f t="shared" si="12"/>
        <v/>
      </c>
      <c r="AH127" s="15" t="str">
        <f>IF($E127="","",IFERROR((Weights!$B$2*$O127 + Weights!$B$3*$AE127 + Weights!$B$4*$AD127 + Weights!$B$5*(1-$AC127) + Weights!$B$6*$AF127 + Weights!$B$7*$AG127)/SUM(Weights!$B$2:$B$7),"" ))</f>
        <v/>
      </c>
      <c r="AI127" s="15" t="str">
        <f>IF($E127="","",IF($O127=0,0,IFERROR($AH127/MAX(Weights!$B$8,$Y127)/MAX(Weights!$B$9,IF($Z127="",0,$Z127)), "")))</f>
        <v/>
      </c>
      <c r="AJ127" s="17"/>
    </row>
    <row r="128" ht="15.75" customHeight="1">
      <c r="A128" s="10"/>
      <c r="B128" s="39"/>
      <c r="C128" s="10"/>
      <c r="D128" s="10"/>
      <c r="E128" s="10"/>
      <c r="F128" s="10" t="str">
        <f>IF($E128="","",VLOOKUP($E128,Benchmark_URLs!$A$2:$L$46,4,FALSE))</f>
        <v/>
      </c>
      <c r="G128" s="10"/>
      <c r="H128" s="10" t="str">
        <f>IF($E128="","",VLOOKUP($E128,Benchmark_URLs!$A$2:$L$46,6,FALSE))</f>
        <v/>
      </c>
      <c r="I128" s="10" t="str">
        <f>IF($E128="","",VLOOKUP($E128,Benchmark_URLs!$A$2:$L$46,7,FALSE))</f>
        <v/>
      </c>
      <c r="J128" s="10" t="str">
        <f>IF($E128="","",VLOOKUP($E128,Benchmark_URLs!$A$2:$L$46,8,FALSE))</f>
        <v/>
      </c>
      <c r="K128" s="10" t="str">
        <f>IF($E128="","",VLOOKUP($E128,Benchmark_URLs!$A$2:$L$46,9,FALSE))</f>
        <v/>
      </c>
      <c r="L128" s="10" t="str">
        <f>IF($E128="","",VLOOKUP($E128,Benchmark_URLs!$A$2:$L$46,10,FALSE))</f>
        <v/>
      </c>
      <c r="M128" s="10" t="str">
        <f>IF($E128="","",VLOOKUP($E128,Benchmark_URLs!$A$2:$L$46,11,FALSE))</f>
        <v/>
      </c>
      <c r="N128" s="16"/>
      <c r="O128" s="16"/>
      <c r="P128" s="16"/>
      <c r="Q128" s="19"/>
      <c r="R128" s="19"/>
      <c r="S128" s="19"/>
      <c r="T128" s="16"/>
      <c r="U128" s="16"/>
      <c r="V128" s="16"/>
      <c r="W128" s="19"/>
      <c r="X128" s="19"/>
      <c r="Y128" s="20"/>
      <c r="Z128" s="20"/>
      <c r="AA128" s="10"/>
      <c r="AB128" s="10"/>
      <c r="AC128" s="15" t="str">
        <f t="shared" si="7"/>
        <v/>
      </c>
      <c r="AD128" s="15" t="str">
        <f t="shared" si="1"/>
        <v/>
      </c>
      <c r="AE128" s="16" t="str">
        <f t="shared" si="11"/>
        <v/>
      </c>
      <c r="AF128" s="16" t="str">
        <f>IF($E128="","",IF($H128="pdf",IFERROR(IF($X128&gt;=Weights!$B$10,1,0),0),1))</f>
        <v/>
      </c>
      <c r="AG128" s="16" t="str">
        <f t="shared" si="12"/>
        <v/>
      </c>
      <c r="AH128" s="15" t="str">
        <f>IF($E128="","",IFERROR((Weights!$B$2*$O128 + Weights!$B$3*$AE128 + Weights!$B$4*$AD128 + Weights!$B$5*(1-$AC128) + Weights!$B$6*$AF128 + Weights!$B$7*$AG128)/SUM(Weights!$B$2:$B$7),"" ))</f>
        <v/>
      </c>
      <c r="AI128" s="15" t="str">
        <f>IF($E128="","",IF($O128=0,0,IFERROR($AH128/MAX(Weights!$B$8,$Y128)/MAX(Weights!$B$9,IF($Z128="",0,$Z128)), "")))</f>
        <v/>
      </c>
      <c r="AJ128" s="17"/>
    </row>
    <row r="129" ht="15.75" customHeight="1">
      <c r="A129" s="10"/>
      <c r="B129" s="39"/>
      <c r="C129" s="10"/>
      <c r="D129" s="10"/>
      <c r="E129" s="10"/>
      <c r="F129" s="10" t="str">
        <f>IF($E129="","",VLOOKUP($E129,Benchmark_URLs!$A$2:$L$46,4,FALSE))</f>
        <v/>
      </c>
      <c r="G129" s="10"/>
      <c r="H129" s="10" t="str">
        <f>IF($E129="","",VLOOKUP($E129,Benchmark_URLs!$A$2:$L$46,6,FALSE))</f>
        <v/>
      </c>
      <c r="I129" s="10" t="str">
        <f>IF($E129="","",VLOOKUP($E129,Benchmark_URLs!$A$2:$L$46,7,FALSE))</f>
        <v/>
      </c>
      <c r="J129" s="10" t="str">
        <f>IF($E129="","",VLOOKUP($E129,Benchmark_URLs!$A$2:$L$46,8,FALSE))</f>
        <v/>
      </c>
      <c r="K129" s="10" t="str">
        <f>IF($E129="","",VLOOKUP($E129,Benchmark_URLs!$A$2:$L$46,9,FALSE))</f>
        <v/>
      </c>
      <c r="L129" s="10" t="str">
        <f>IF($E129="","",VLOOKUP($E129,Benchmark_URLs!$A$2:$L$46,10,FALSE))</f>
        <v/>
      </c>
      <c r="M129" s="10" t="str">
        <f>IF($E129="","",VLOOKUP($E129,Benchmark_URLs!$A$2:$L$46,11,FALSE))</f>
        <v/>
      </c>
      <c r="N129" s="16"/>
      <c r="O129" s="16"/>
      <c r="P129" s="16"/>
      <c r="Q129" s="19"/>
      <c r="R129" s="19"/>
      <c r="S129" s="19"/>
      <c r="T129" s="16"/>
      <c r="U129" s="16"/>
      <c r="V129" s="16"/>
      <c r="W129" s="19"/>
      <c r="X129" s="19"/>
      <c r="Y129" s="20"/>
      <c r="Z129" s="20"/>
      <c r="AA129" s="10"/>
      <c r="AB129" s="10"/>
      <c r="AC129" s="15" t="str">
        <f t="shared" si="7"/>
        <v/>
      </c>
      <c r="AD129" s="15" t="str">
        <f t="shared" si="1"/>
        <v/>
      </c>
      <c r="AE129" s="16" t="str">
        <f t="shared" si="11"/>
        <v/>
      </c>
      <c r="AF129" s="16" t="str">
        <f>IF($E129="","",IF($H129="pdf",IFERROR(IF($X129&gt;=Weights!$B$10,1,0),0),1))</f>
        <v/>
      </c>
      <c r="AG129" s="16" t="str">
        <f t="shared" si="12"/>
        <v/>
      </c>
      <c r="AH129" s="15" t="str">
        <f>IF($E129="","",IFERROR((Weights!$B$2*$O129 + Weights!$B$3*$AE129 + Weights!$B$4*$AD129 + Weights!$B$5*(1-$AC129) + Weights!$B$6*$AF129 + Weights!$B$7*$AG129)/SUM(Weights!$B$2:$B$7),"" ))</f>
        <v/>
      </c>
      <c r="AI129" s="15" t="str">
        <f>IF($E129="","",IF($O129=0,0,IFERROR($AH129/MAX(Weights!$B$8,$Y129)/MAX(Weights!$B$9,IF($Z129="",0,$Z129)), "")))</f>
        <v/>
      </c>
      <c r="AJ129" s="17"/>
    </row>
    <row r="130" ht="15.75" customHeight="1">
      <c r="A130" s="10"/>
      <c r="B130" s="39"/>
      <c r="C130" s="10"/>
      <c r="D130" s="10"/>
      <c r="E130" s="10"/>
      <c r="F130" s="10" t="str">
        <f>IF($E130="","",VLOOKUP($E130,Benchmark_URLs!$A$2:$L$46,4,FALSE))</f>
        <v/>
      </c>
      <c r="G130" s="10"/>
      <c r="H130" s="10" t="str">
        <f>IF($E130="","",VLOOKUP($E130,Benchmark_URLs!$A$2:$L$46,6,FALSE))</f>
        <v/>
      </c>
      <c r="I130" s="10" t="str">
        <f>IF($E130="","",VLOOKUP($E130,Benchmark_URLs!$A$2:$L$46,7,FALSE))</f>
        <v/>
      </c>
      <c r="J130" s="10" t="str">
        <f>IF($E130="","",VLOOKUP($E130,Benchmark_URLs!$A$2:$L$46,8,FALSE))</f>
        <v/>
      </c>
      <c r="K130" s="10" t="str">
        <f>IF($E130="","",VLOOKUP($E130,Benchmark_URLs!$A$2:$L$46,9,FALSE))</f>
        <v/>
      </c>
      <c r="L130" s="10" t="str">
        <f>IF($E130="","",VLOOKUP($E130,Benchmark_URLs!$A$2:$L$46,10,FALSE))</f>
        <v/>
      </c>
      <c r="M130" s="10" t="str">
        <f>IF($E130="","",VLOOKUP($E130,Benchmark_URLs!$A$2:$L$46,11,FALSE))</f>
        <v/>
      </c>
      <c r="N130" s="16"/>
      <c r="O130" s="16"/>
      <c r="P130" s="16"/>
      <c r="Q130" s="19"/>
      <c r="R130" s="19"/>
      <c r="S130" s="19"/>
      <c r="T130" s="16"/>
      <c r="U130" s="16"/>
      <c r="V130" s="16"/>
      <c r="W130" s="19"/>
      <c r="X130" s="19"/>
      <c r="Y130" s="20"/>
      <c r="Z130" s="20"/>
      <c r="AA130" s="10"/>
      <c r="AB130" s="10"/>
      <c r="AC130" s="15" t="str">
        <f t="shared" si="7"/>
        <v/>
      </c>
      <c r="AD130" s="15" t="str">
        <f t="shared" si="1"/>
        <v/>
      </c>
      <c r="AE130" s="16" t="str">
        <f t="shared" si="11"/>
        <v/>
      </c>
      <c r="AF130" s="16" t="str">
        <f>IF($E130="","",IF($H130="pdf",IFERROR(IF($X130&gt;=Weights!$B$10,1,0),0),1))</f>
        <v/>
      </c>
      <c r="AG130" s="16" t="str">
        <f t="shared" si="12"/>
        <v/>
      </c>
      <c r="AH130" s="15" t="str">
        <f>IF($E130="","",IFERROR((Weights!$B$2*$O130 + Weights!$B$3*$AE130 + Weights!$B$4*$AD130 + Weights!$B$5*(1-$AC130) + Weights!$B$6*$AF130 + Weights!$B$7*$AG130)/SUM(Weights!$B$2:$B$7),"" ))</f>
        <v/>
      </c>
      <c r="AI130" s="15" t="str">
        <f>IF($E130="","",IF($O130=0,0,IFERROR($AH130/MAX(Weights!$B$8,$Y130)/MAX(Weights!$B$9,IF($Z130="",0,$Z130)), "")))</f>
        <v/>
      </c>
      <c r="AJ130" s="17"/>
    </row>
    <row r="131" ht="15.75" customHeight="1">
      <c r="A131" s="10"/>
      <c r="B131" s="39"/>
      <c r="C131" s="10"/>
      <c r="D131" s="10"/>
      <c r="E131" s="10"/>
      <c r="F131" s="10" t="str">
        <f>IF($E131="","",VLOOKUP($E131,Benchmark_URLs!$A$2:$L$46,4,FALSE))</f>
        <v/>
      </c>
      <c r="G131" s="10"/>
      <c r="H131" s="10" t="str">
        <f>IF($E131="","",VLOOKUP($E131,Benchmark_URLs!$A$2:$L$46,6,FALSE))</f>
        <v/>
      </c>
      <c r="I131" s="10" t="str">
        <f>IF($E131="","",VLOOKUP($E131,Benchmark_URLs!$A$2:$L$46,7,FALSE))</f>
        <v/>
      </c>
      <c r="J131" s="10" t="str">
        <f>IF($E131="","",VLOOKUP($E131,Benchmark_URLs!$A$2:$L$46,8,FALSE))</f>
        <v/>
      </c>
      <c r="K131" s="10" t="str">
        <f>IF($E131="","",VLOOKUP($E131,Benchmark_URLs!$A$2:$L$46,9,FALSE))</f>
        <v/>
      </c>
      <c r="L131" s="10" t="str">
        <f>IF($E131="","",VLOOKUP($E131,Benchmark_URLs!$A$2:$L$46,10,FALSE))</f>
        <v/>
      </c>
      <c r="M131" s="10" t="str">
        <f>IF($E131="","",VLOOKUP($E131,Benchmark_URLs!$A$2:$L$46,11,FALSE))</f>
        <v/>
      </c>
      <c r="N131" s="16"/>
      <c r="O131" s="16"/>
      <c r="P131" s="16"/>
      <c r="Q131" s="19"/>
      <c r="R131" s="19"/>
      <c r="S131" s="19"/>
      <c r="T131" s="16"/>
      <c r="U131" s="16"/>
      <c r="V131" s="16"/>
      <c r="W131" s="19"/>
      <c r="X131" s="19"/>
      <c r="Y131" s="20"/>
      <c r="Z131" s="20"/>
      <c r="AA131" s="10"/>
      <c r="AB131" s="10"/>
      <c r="AC131" s="15" t="str">
        <f t="shared" si="7"/>
        <v/>
      </c>
      <c r="AD131" s="15" t="str">
        <f t="shared" si="1"/>
        <v/>
      </c>
      <c r="AE131" s="16" t="str">
        <f t="shared" si="11"/>
        <v/>
      </c>
      <c r="AF131" s="16" t="str">
        <f>IF($E131="","",IF($H131="pdf",IFERROR(IF($X131&gt;=Weights!$B$10,1,0),0),1))</f>
        <v/>
      </c>
      <c r="AG131" s="16" t="str">
        <f t="shared" si="12"/>
        <v/>
      </c>
      <c r="AH131" s="15" t="str">
        <f>IF($E131="","",IFERROR((Weights!$B$2*$O131 + Weights!$B$3*$AE131 + Weights!$B$4*$AD131 + Weights!$B$5*(1-$AC131) + Weights!$B$6*$AF131 + Weights!$B$7*$AG131)/SUM(Weights!$B$2:$B$7),"" ))</f>
        <v/>
      </c>
      <c r="AI131" s="15" t="str">
        <f>IF($E131="","",IF($O131=0,0,IFERROR($AH131/MAX(Weights!$B$8,$Y131)/MAX(Weights!$B$9,IF($Z131="",0,$Z131)), "")))</f>
        <v/>
      </c>
      <c r="AJ131" s="17"/>
    </row>
    <row r="132" ht="15.75" customHeight="1">
      <c r="A132" s="10"/>
      <c r="B132" s="39"/>
      <c r="C132" s="10"/>
      <c r="D132" s="10"/>
      <c r="E132" s="10"/>
      <c r="F132" s="10" t="str">
        <f>IF($E132="","",VLOOKUP($E132,Benchmark_URLs!$A$2:$L$46,4,FALSE))</f>
        <v/>
      </c>
      <c r="G132" s="10"/>
      <c r="H132" s="10" t="str">
        <f>IF($E132="","",VLOOKUP($E132,Benchmark_URLs!$A$2:$L$46,6,FALSE))</f>
        <v/>
      </c>
      <c r="I132" s="10" t="str">
        <f>IF($E132="","",VLOOKUP($E132,Benchmark_URLs!$A$2:$L$46,7,FALSE))</f>
        <v/>
      </c>
      <c r="J132" s="10" t="str">
        <f>IF($E132="","",VLOOKUP($E132,Benchmark_URLs!$A$2:$L$46,8,FALSE))</f>
        <v/>
      </c>
      <c r="K132" s="10" t="str">
        <f>IF($E132="","",VLOOKUP($E132,Benchmark_URLs!$A$2:$L$46,9,FALSE))</f>
        <v/>
      </c>
      <c r="L132" s="10" t="str">
        <f>IF($E132="","",VLOOKUP($E132,Benchmark_URLs!$A$2:$L$46,10,FALSE))</f>
        <v/>
      </c>
      <c r="M132" s="10" t="str">
        <f>IF($E132="","",VLOOKUP($E132,Benchmark_URLs!$A$2:$L$46,11,FALSE))</f>
        <v/>
      </c>
      <c r="N132" s="16"/>
      <c r="O132" s="16"/>
      <c r="P132" s="16"/>
      <c r="Q132" s="19"/>
      <c r="R132" s="19"/>
      <c r="S132" s="19"/>
      <c r="T132" s="16"/>
      <c r="U132" s="16"/>
      <c r="V132" s="16"/>
      <c r="W132" s="19"/>
      <c r="X132" s="19"/>
      <c r="Y132" s="20"/>
      <c r="Z132" s="20"/>
      <c r="AA132" s="10"/>
      <c r="AB132" s="10"/>
      <c r="AC132" s="15" t="str">
        <f t="shared" si="7"/>
        <v/>
      </c>
      <c r="AD132" s="15" t="str">
        <f t="shared" si="1"/>
        <v/>
      </c>
      <c r="AE132" s="16" t="str">
        <f t="shared" si="11"/>
        <v/>
      </c>
      <c r="AF132" s="16" t="str">
        <f>IF($E132="","",IF($H132="pdf",IFERROR(IF($X132&gt;=Weights!$B$10,1,0),0),1))</f>
        <v/>
      </c>
      <c r="AG132" s="16" t="str">
        <f t="shared" si="12"/>
        <v/>
      </c>
      <c r="AH132" s="15" t="str">
        <f>IF($E132="","",IFERROR((Weights!$B$2*$O132 + Weights!$B$3*$AE132 + Weights!$B$4*$AD132 + Weights!$B$5*(1-$AC132) + Weights!$B$6*$AF132 + Weights!$B$7*$AG132)/SUM(Weights!$B$2:$B$7),"" ))</f>
        <v/>
      </c>
      <c r="AI132" s="15" t="str">
        <f>IF($E132="","",IF($O132=0,0,IFERROR($AH132/MAX(Weights!$B$8,$Y132)/MAX(Weights!$B$9,IF($Z132="",0,$Z132)), "")))</f>
        <v/>
      </c>
      <c r="AJ132" s="17"/>
    </row>
    <row r="133" ht="15.75" customHeight="1">
      <c r="A133" s="10"/>
      <c r="B133" s="39"/>
      <c r="C133" s="10"/>
      <c r="D133" s="10"/>
      <c r="E133" s="10"/>
      <c r="F133" s="10" t="str">
        <f>IF($E133="","",VLOOKUP($E133,Benchmark_URLs!$A$2:$L$46,4,FALSE))</f>
        <v/>
      </c>
      <c r="G133" s="10"/>
      <c r="H133" s="10" t="str">
        <f>IF($E133="","",VLOOKUP($E133,Benchmark_URLs!$A$2:$L$46,6,FALSE))</f>
        <v/>
      </c>
      <c r="I133" s="10" t="str">
        <f>IF($E133="","",VLOOKUP($E133,Benchmark_URLs!$A$2:$L$46,7,FALSE))</f>
        <v/>
      </c>
      <c r="J133" s="10" t="str">
        <f>IF($E133="","",VLOOKUP($E133,Benchmark_URLs!$A$2:$L$46,8,FALSE))</f>
        <v/>
      </c>
      <c r="K133" s="10" t="str">
        <f>IF($E133="","",VLOOKUP($E133,Benchmark_URLs!$A$2:$L$46,9,FALSE))</f>
        <v/>
      </c>
      <c r="L133" s="10" t="str">
        <f>IF($E133="","",VLOOKUP($E133,Benchmark_URLs!$A$2:$L$46,10,FALSE))</f>
        <v/>
      </c>
      <c r="M133" s="10" t="str">
        <f>IF($E133="","",VLOOKUP($E133,Benchmark_URLs!$A$2:$L$46,11,FALSE))</f>
        <v/>
      </c>
      <c r="N133" s="16"/>
      <c r="O133" s="16"/>
      <c r="P133" s="16"/>
      <c r="Q133" s="19"/>
      <c r="R133" s="19"/>
      <c r="S133" s="19"/>
      <c r="T133" s="16"/>
      <c r="U133" s="16"/>
      <c r="V133" s="16"/>
      <c r="W133" s="19"/>
      <c r="X133" s="19"/>
      <c r="Y133" s="20"/>
      <c r="Z133" s="20"/>
      <c r="AA133" s="10"/>
      <c r="AB133" s="10"/>
      <c r="AC133" s="15" t="str">
        <f t="shared" si="7"/>
        <v/>
      </c>
      <c r="AD133" s="15" t="str">
        <f t="shared" si="1"/>
        <v/>
      </c>
      <c r="AE133" s="16" t="str">
        <f t="shared" si="11"/>
        <v/>
      </c>
      <c r="AF133" s="16" t="str">
        <f>IF($E133="","",IF($H133="pdf",IFERROR(IF($X133&gt;=Weights!$B$10,1,0),0),1))</f>
        <v/>
      </c>
      <c r="AG133" s="16" t="str">
        <f t="shared" si="12"/>
        <v/>
      </c>
      <c r="AH133" s="15" t="str">
        <f>IF($E133="","",IFERROR((Weights!$B$2*$O133 + Weights!$B$3*$AE133 + Weights!$B$4*$AD133 + Weights!$B$5*(1-$AC133) + Weights!$B$6*$AF133 + Weights!$B$7*$AG133)/SUM(Weights!$B$2:$B$7),"" ))</f>
        <v/>
      </c>
      <c r="AI133" s="15" t="str">
        <f>IF($E133="","",IF($O133=0,0,IFERROR($AH133/MAX(Weights!$B$8,$Y133)/MAX(Weights!$B$9,IF($Z133="",0,$Z133)), "")))</f>
        <v/>
      </c>
      <c r="AJ133" s="17"/>
    </row>
    <row r="134" ht="15.75" customHeight="1">
      <c r="A134" s="10"/>
      <c r="B134" s="39"/>
      <c r="C134" s="10"/>
      <c r="D134" s="10"/>
      <c r="E134" s="10"/>
      <c r="F134" s="10" t="str">
        <f>IF($E134="","",VLOOKUP($E134,Benchmark_URLs!$A$2:$L$46,4,FALSE))</f>
        <v/>
      </c>
      <c r="G134" s="10"/>
      <c r="H134" s="10" t="str">
        <f>IF($E134="","",VLOOKUP($E134,Benchmark_URLs!$A$2:$L$46,6,FALSE))</f>
        <v/>
      </c>
      <c r="I134" s="10" t="str">
        <f>IF($E134="","",VLOOKUP($E134,Benchmark_URLs!$A$2:$L$46,7,FALSE))</f>
        <v/>
      </c>
      <c r="J134" s="10" t="str">
        <f>IF($E134="","",VLOOKUP($E134,Benchmark_URLs!$A$2:$L$46,8,FALSE))</f>
        <v/>
      </c>
      <c r="K134" s="10" t="str">
        <f>IF($E134="","",VLOOKUP($E134,Benchmark_URLs!$A$2:$L$46,9,FALSE))</f>
        <v/>
      </c>
      <c r="L134" s="10" t="str">
        <f>IF($E134="","",VLOOKUP($E134,Benchmark_URLs!$A$2:$L$46,10,FALSE))</f>
        <v/>
      </c>
      <c r="M134" s="10" t="str">
        <f>IF($E134="","",VLOOKUP($E134,Benchmark_URLs!$A$2:$L$46,11,FALSE))</f>
        <v/>
      </c>
      <c r="N134" s="16"/>
      <c r="O134" s="16"/>
      <c r="P134" s="16"/>
      <c r="Q134" s="19"/>
      <c r="R134" s="19"/>
      <c r="S134" s="19"/>
      <c r="T134" s="16"/>
      <c r="U134" s="16"/>
      <c r="V134" s="16"/>
      <c r="W134" s="19"/>
      <c r="X134" s="19"/>
      <c r="Y134" s="20"/>
      <c r="Z134" s="20"/>
      <c r="AA134" s="10"/>
      <c r="AB134" s="10"/>
      <c r="AC134" s="15" t="str">
        <f t="shared" si="7"/>
        <v/>
      </c>
      <c r="AD134" s="15" t="str">
        <f t="shared" si="1"/>
        <v/>
      </c>
      <c r="AE134" s="16" t="str">
        <f t="shared" si="11"/>
        <v/>
      </c>
      <c r="AF134" s="16" t="str">
        <f>IF($E134="","",IF($H134="pdf",IFERROR(IF($X134&gt;=Weights!$B$10,1,0),0),1))</f>
        <v/>
      </c>
      <c r="AG134" s="16" t="str">
        <f t="shared" si="12"/>
        <v/>
      </c>
      <c r="AH134" s="15" t="str">
        <f>IF($E134="","",IFERROR((Weights!$B$2*$O134 + Weights!$B$3*$AE134 + Weights!$B$4*$AD134 + Weights!$B$5*(1-$AC134) + Weights!$B$6*$AF134 + Weights!$B$7*$AG134)/SUM(Weights!$B$2:$B$7),"" ))</f>
        <v/>
      </c>
      <c r="AI134" s="15" t="str">
        <f>IF($E134="","",IF($O134=0,0,IFERROR($AH134/MAX(Weights!$B$8,$Y134)/MAX(Weights!$B$9,IF($Z134="",0,$Z134)), "")))</f>
        <v/>
      </c>
      <c r="AJ134" s="17"/>
    </row>
    <row r="135" ht="15.75" customHeight="1">
      <c r="A135" s="10"/>
      <c r="B135" s="39"/>
      <c r="C135" s="10"/>
      <c r="D135" s="10"/>
      <c r="E135" s="10"/>
      <c r="F135" s="10" t="str">
        <f>IF($E135="","",VLOOKUP($E135,Benchmark_URLs!$A$2:$L$46,4,FALSE))</f>
        <v/>
      </c>
      <c r="G135" s="10"/>
      <c r="H135" s="10" t="str">
        <f>IF($E135="","",VLOOKUP($E135,Benchmark_URLs!$A$2:$L$46,6,FALSE))</f>
        <v/>
      </c>
      <c r="I135" s="10" t="str">
        <f>IF($E135="","",VLOOKUP($E135,Benchmark_URLs!$A$2:$L$46,7,FALSE))</f>
        <v/>
      </c>
      <c r="J135" s="10" t="str">
        <f>IF($E135="","",VLOOKUP($E135,Benchmark_URLs!$A$2:$L$46,8,FALSE))</f>
        <v/>
      </c>
      <c r="K135" s="10" t="str">
        <f>IF($E135="","",VLOOKUP($E135,Benchmark_URLs!$A$2:$L$46,9,FALSE))</f>
        <v/>
      </c>
      <c r="L135" s="10" t="str">
        <f>IF($E135="","",VLOOKUP($E135,Benchmark_URLs!$A$2:$L$46,10,FALSE))</f>
        <v/>
      </c>
      <c r="M135" s="10" t="str">
        <f>IF($E135="","",VLOOKUP($E135,Benchmark_URLs!$A$2:$L$46,11,FALSE))</f>
        <v/>
      </c>
      <c r="N135" s="16"/>
      <c r="O135" s="16"/>
      <c r="P135" s="16"/>
      <c r="Q135" s="19"/>
      <c r="R135" s="19"/>
      <c r="S135" s="19"/>
      <c r="T135" s="16"/>
      <c r="U135" s="16"/>
      <c r="V135" s="16"/>
      <c r="W135" s="19"/>
      <c r="X135" s="19"/>
      <c r="Y135" s="20"/>
      <c r="Z135" s="20"/>
      <c r="AA135" s="10"/>
      <c r="AB135" s="10"/>
      <c r="AC135" s="15" t="str">
        <f t="shared" si="7"/>
        <v/>
      </c>
      <c r="AD135" s="15" t="str">
        <f t="shared" si="1"/>
        <v/>
      </c>
      <c r="AE135" s="16" t="str">
        <f t="shared" si="11"/>
        <v/>
      </c>
      <c r="AF135" s="16" t="str">
        <f>IF($E135="","",IF($H135="pdf",IFERROR(IF($X135&gt;=Weights!$B$10,1,0),0),1))</f>
        <v/>
      </c>
      <c r="AG135" s="16" t="str">
        <f t="shared" si="12"/>
        <v/>
      </c>
      <c r="AH135" s="15" t="str">
        <f>IF($E135="","",IFERROR((Weights!$B$2*$O135 + Weights!$B$3*$AE135 + Weights!$B$4*$AD135 + Weights!$B$5*(1-$AC135) + Weights!$B$6*$AF135 + Weights!$B$7*$AG135)/SUM(Weights!$B$2:$B$7),"" ))</f>
        <v/>
      </c>
      <c r="AI135" s="15" t="str">
        <f>IF($E135="","",IF($O135=0,0,IFERROR($AH135/MAX(Weights!$B$8,$Y135)/MAX(Weights!$B$9,IF($Z135="",0,$Z135)), "")))</f>
        <v/>
      </c>
      <c r="AJ135" s="17"/>
    </row>
    <row r="136" ht="15.75" customHeight="1">
      <c r="A136" s="10"/>
      <c r="B136" s="39"/>
      <c r="C136" s="10"/>
      <c r="D136" s="10"/>
      <c r="E136" s="10"/>
      <c r="F136" s="10" t="str">
        <f>IF($E136="","",VLOOKUP($E136,Benchmark_URLs!$A$2:$L$46,4,FALSE))</f>
        <v/>
      </c>
      <c r="G136" s="10"/>
      <c r="H136" s="10" t="str">
        <f>IF($E136="","",VLOOKUP($E136,Benchmark_URLs!$A$2:$L$46,6,FALSE))</f>
        <v/>
      </c>
      <c r="I136" s="10" t="str">
        <f>IF($E136="","",VLOOKUP($E136,Benchmark_URLs!$A$2:$L$46,7,FALSE))</f>
        <v/>
      </c>
      <c r="J136" s="10" t="str">
        <f>IF($E136="","",VLOOKUP($E136,Benchmark_URLs!$A$2:$L$46,8,FALSE))</f>
        <v/>
      </c>
      <c r="K136" s="10" t="str">
        <f>IF($E136="","",VLOOKUP($E136,Benchmark_URLs!$A$2:$L$46,9,FALSE))</f>
        <v/>
      </c>
      <c r="L136" s="10" t="str">
        <f>IF($E136="","",VLOOKUP($E136,Benchmark_URLs!$A$2:$L$46,10,FALSE))</f>
        <v/>
      </c>
      <c r="M136" s="10" t="str">
        <f>IF($E136="","",VLOOKUP($E136,Benchmark_URLs!$A$2:$L$46,11,FALSE))</f>
        <v/>
      </c>
      <c r="N136" s="16"/>
      <c r="O136" s="16"/>
      <c r="P136" s="16"/>
      <c r="Q136" s="19"/>
      <c r="R136" s="19"/>
      <c r="S136" s="19"/>
      <c r="T136" s="16"/>
      <c r="U136" s="16"/>
      <c r="V136" s="16"/>
      <c r="W136" s="19"/>
      <c r="X136" s="19"/>
      <c r="Y136" s="20"/>
      <c r="Z136" s="20"/>
      <c r="AA136" s="10"/>
      <c r="AB136" s="10"/>
      <c r="AC136" s="15" t="str">
        <f t="shared" si="7"/>
        <v/>
      </c>
      <c r="AD136" s="15" t="str">
        <f t="shared" si="1"/>
        <v/>
      </c>
      <c r="AE136" s="16" t="str">
        <f t="shared" si="11"/>
        <v/>
      </c>
      <c r="AF136" s="16" t="str">
        <f>IF($E136="","",IF($H136="pdf",IFERROR(IF($X136&gt;=Weights!$B$10,1,0),0),1))</f>
        <v/>
      </c>
      <c r="AG136" s="16" t="str">
        <f t="shared" si="12"/>
        <v/>
      </c>
      <c r="AH136" s="15" t="str">
        <f>IF($E136="","",IFERROR((Weights!$B$2*$O136 + Weights!$B$3*$AE136 + Weights!$B$4*$AD136 + Weights!$B$5*(1-$AC136) + Weights!$B$6*$AF136 + Weights!$B$7*$AG136)/SUM(Weights!$B$2:$B$7),"" ))</f>
        <v/>
      </c>
      <c r="AI136" s="15" t="str">
        <f>IF($E136="","",IF($O136=0,0,IFERROR($AH136/MAX(Weights!$B$8,$Y136)/MAX(Weights!$B$9,IF($Z136="",0,$Z136)), "")))</f>
        <v/>
      </c>
      <c r="AJ136" s="17"/>
    </row>
    <row r="137" ht="15.75" customHeight="1">
      <c r="A137" s="10"/>
      <c r="B137" s="39"/>
      <c r="C137" s="10"/>
      <c r="D137" s="10"/>
      <c r="E137" s="10"/>
      <c r="F137" s="10" t="str">
        <f>IF($E137="","",VLOOKUP($E137,Benchmark_URLs!$A$2:$L$46,4,FALSE))</f>
        <v/>
      </c>
      <c r="G137" s="10"/>
      <c r="H137" s="10" t="str">
        <f>IF($E137="","",VLOOKUP($E137,Benchmark_URLs!$A$2:$L$46,6,FALSE))</f>
        <v/>
      </c>
      <c r="I137" s="10" t="str">
        <f>IF($E137="","",VLOOKUP($E137,Benchmark_URLs!$A$2:$L$46,7,FALSE))</f>
        <v/>
      </c>
      <c r="J137" s="10" t="str">
        <f>IF($E137="","",VLOOKUP($E137,Benchmark_URLs!$A$2:$L$46,8,FALSE))</f>
        <v/>
      </c>
      <c r="K137" s="10" t="str">
        <f>IF($E137="","",VLOOKUP($E137,Benchmark_URLs!$A$2:$L$46,9,FALSE))</f>
        <v/>
      </c>
      <c r="L137" s="10" t="str">
        <f>IF($E137="","",VLOOKUP($E137,Benchmark_URLs!$A$2:$L$46,10,FALSE))</f>
        <v/>
      </c>
      <c r="M137" s="10" t="str">
        <f>IF($E137="","",VLOOKUP($E137,Benchmark_URLs!$A$2:$L$46,11,FALSE))</f>
        <v/>
      </c>
      <c r="N137" s="16"/>
      <c r="O137" s="16"/>
      <c r="P137" s="16"/>
      <c r="Q137" s="19"/>
      <c r="R137" s="19"/>
      <c r="S137" s="19"/>
      <c r="T137" s="16"/>
      <c r="U137" s="16"/>
      <c r="V137" s="16"/>
      <c r="W137" s="19"/>
      <c r="X137" s="19"/>
      <c r="Y137" s="20"/>
      <c r="Z137" s="20"/>
      <c r="AA137" s="10"/>
      <c r="AB137" s="10"/>
      <c r="AC137" s="15" t="str">
        <f t="shared" si="7"/>
        <v/>
      </c>
      <c r="AD137" s="15" t="str">
        <f t="shared" si="1"/>
        <v/>
      </c>
      <c r="AE137" s="16" t="str">
        <f t="shared" si="11"/>
        <v/>
      </c>
      <c r="AF137" s="16" t="str">
        <f>IF($E137="","",IF($H137="pdf",IFERROR(IF($X137&gt;=Weights!$B$10,1,0),0),1))</f>
        <v/>
      </c>
      <c r="AG137" s="16" t="str">
        <f t="shared" si="12"/>
        <v/>
      </c>
      <c r="AH137" s="15" t="str">
        <f>IF($E137="","",IFERROR((Weights!$B$2*$O137 + Weights!$B$3*$AE137 + Weights!$B$4*$AD137 + Weights!$B$5*(1-$AC137) + Weights!$B$6*$AF137 + Weights!$B$7*$AG137)/SUM(Weights!$B$2:$B$7),"" ))</f>
        <v/>
      </c>
      <c r="AI137" s="15" t="str">
        <f>IF($E137="","",IF($O137=0,0,IFERROR($AH137/MAX(Weights!$B$8,$Y137)/MAX(Weights!$B$9,IF($Z137="",0,$Z137)), "")))</f>
        <v/>
      </c>
      <c r="AJ137" s="17"/>
    </row>
    <row r="138" ht="15.75" customHeight="1">
      <c r="A138" s="10"/>
      <c r="B138" s="39"/>
      <c r="C138" s="10"/>
      <c r="D138" s="10"/>
      <c r="E138" s="10"/>
      <c r="F138" s="10" t="str">
        <f>IF($E138="","",VLOOKUP($E138,Benchmark_URLs!$A$2:$L$46,4,FALSE))</f>
        <v/>
      </c>
      <c r="G138" s="10"/>
      <c r="H138" s="10" t="str">
        <f>IF($E138="","",VLOOKUP($E138,Benchmark_URLs!$A$2:$L$46,6,FALSE))</f>
        <v/>
      </c>
      <c r="I138" s="10" t="str">
        <f>IF($E138="","",VLOOKUP($E138,Benchmark_URLs!$A$2:$L$46,7,FALSE))</f>
        <v/>
      </c>
      <c r="J138" s="10" t="str">
        <f>IF($E138="","",VLOOKUP($E138,Benchmark_URLs!$A$2:$L$46,8,FALSE))</f>
        <v/>
      </c>
      <c r="K138" s="10" t="str">
        <f>IF($E138="","",VLOOKUP($E138,Benchmark_URLs!$A$2:$L$46,9,FALSE))</f>
        <v/>
      </c>
      <c r="L138" s="10" t="str">
        <f>IF($E138="","",VLOOKUP($E138,Benchmark_URLs!$A$2:$L$46,10,FALSE))</f>
        <v/>
      </c>
      <c r="M138" s="10" t="str">
        <f>IF($E138="","",VLOOKUP($E138,Benchmark_URLs!$A$2:$L$46,11,FALSE))</f>
        <v/>
      </c>
      <c r="N138" s="16"/>
      <c r="O138" s="16"/>
      <c r="P138" s="16"/>
      <c r="Q138" s="19"/>
      <c r="R138" s="19"/>
      <c r="S138" s="19"/>
      <c r="T138" s="16"/>
      <c r="U138" s="16"/>
      <c r="V138" s="16"/>
      <c r="W138" s="19"/>
      <c r="X138" s="19"/>
      <c r="Y138" s="20"/>
      <c r="Z138" s="20"/>
      <c r="AA138" s="10"/>
      <c r="AB138" s="10"/>
      <c r="AC138" s="15" t="str">
        <f t="shared" si="7"/>
        <v/>
      </c>
      <c r="AD138" s="15" t="str">
        <f t="shared" si="1"/>
        <v/>
      </c>
      <c r="AE138" s="16" t="str">
        <f t="shared" si="11"/>
        <v/>
      </c>
      <c r="AF138" s="16" t="str">
        <f>IF($E138="","",IF($H138="pdf",IFERROR(IF($X138&gt;=Weights!$B$10,1,0),0),1))</f>
        <v/>
      </c>
      <c r="AG138" s="16" t="str">
        <f t="shared" si="12"/>
        <v/>
      </c>
      <c r="AH138" s="15" t="str">
        <f>IF($E138="","",IFERROR((Weights!$B$2*$O138 + Weights!$B$3*$AE138 + Weights!$B$4*$AD138 + Weights!$B$5*(1-$AC138) + Weights!$B$6*$AF138 + Weights!$B$7*$AG138)/SUM(Weights!$B$2:$B$7),"" ))</f>
        <v/>
      </c>
      <c r="AI138" s="15" t="str">
        <f>IF($E138="","",IF($O138=0,0,IFERROR($AH138/MAX(Weights!$B$8,$Y138)/MAX(Weights!$B$9,IF($Z138="",0,$Z138)), "")))</f>
        <v/>
      </c>
      <c r="AJ138" s="17"/>
    </row>
    <row r="139" ht="15.75" customHeight="1">
      <c r="A139" s="10"/>
      <c r="B139" s="39"/>
      <c r="C139" s="10"/>
      <c r="D139" s="10"/>
      <c r="E139" s="10"/>
      <c r="F139" s="10" t="str">
        <f>IF($E139="","",VLOOKUP($E139,Benchmark_URLs!$A$2:$L$46,4,FALSE))</f>
        <v/>
      </c>
      <c r="G139" s="10"/>
      <c r="H139" s="10" t="str">
        <f>IF($E139="","",VLOOKUP($E139,Benchmark_URLs!$A$2:$L$46,6,FALSE))</f>
        <v/>
      </c>
      <c r="I139" s="10" t="str">
        <f>IF($E139="","",VLOOKUP($E139,Benchmark_URLs!$A$2:$L$46,7,FALSE))</f>
        <v/>
      </c>
      <c r="J139" s="10" t="str">
        <f>IF($E139="","",VLOOKUP($E139,Benchmark_URLs!$A$2:$L$46,8,FALSE))</f>
        <v/>
      </c>
      <c r="K139" s="10" t="str">
        <f>IF($E139="","",VLOOKUP($E139,Benchmark_URLs!$A$2:$L$46,9,FALSE))</f>
        <v/>
      </c>
      <c r="L139" s="10" t="str">
        <f>IF($E139="","",VLOOKUP($E139,Benchmark_URLs!$A$2:$L$46,10,FALSE))</f>
        <v/>
      </c>
      <c r="M139" s="10" t="str">
        <f>IF($E139="","",VLOOKUP($E139,Benchmark_URLs!$A$2:$L$46,11,FALSE))</f>
        <v/>
      </c>
      <c r="N139" s="16"/>
      <c r="O139" s="16"/>
      <c r="P139" s="16"/>
      <c r="Q139" s="19"/>
      <c r="R139" s="19"/>
      <c r="S139" s="19"/>
      <c r="T139" s="16"/>
      <c r="U139" s="16"/>
      <c r="V139" s="16"/>
      <c r="W139" s="19"/>
      <c r="X139" s="19"/>
      <c r="Y139" s="20"/>
      <c r="Z139" s="20"/>
      <c r="AA139" s="10"/>
      <c r="AB139" s="10"/>
      <c r="AC139" s="15" t="str">
        <f t="shared" si="7"/>
        <v/>
      </c>
      <c r="AD139" s="15" t="str">
        <f t="shared" si="1"/>
        <v/>
      </c>
      <c r="AE139" s="16" t="str">
        <f t="shared" si="11"/>
        <v/>
      </c>
      <c r="AF139" s="16" t="str">
        <f>IF($E139="","",IF($H139="pdf",IFERROR(IF($X139&gt;=Weights!$B$10,1,0),0),1))</f>
        <v/>
      </c>
      <c r="AG139" s="16" t="str">
        <f t="shared" si="12"/>
        <v/>
      </c>
      <c r="AH139" s="15" t="str">
        <f>IF($E139="","",IFERROR((Weights!$B$2*$O139 + Weights!$B$3*$AE139 + Weights!$B$4*$AD139 + Weights!$B$5*(1-$AC139) + Weights!$B$6*$AF139 + Weights!$B$7*$AG139)/SUM(Weights!$B$2:$B$7),"" ))</f>
        <v/>
      </c>
      <c r="AI139" s="15" t="str">
        <f>IF($E139="","",IF($O139=0,0,IFERROR($AH139/MAX(Weights!$B$8,$Y139)/MAX(Weights!$B$9,IF($Z139="",0,$Z139)), "")))</f>
        <v/>
      </c>
      <c r="AJ139" s="17"/>
    </row>
    <row r="140" ht="15.75" customHeight="1">
      <c r="A140" s="10"/>
      <c r="B140" s="39"/>
      <c r="C140" s="10"/>
      <c r="D140" s="10"/>
      <c r="E140" s="10"/>
      <c r="F140" s="10" t="str">
        <f>IF($E140="","",VLOOKUP($E140,Benchmark_URLs!$A$2:$L$46,4,FALSE))</f>
        <v/>
      </c>
      <c r="G140" s="10"/>
      <c r="H140" s="10" t="str">
        <f>IF($E140="","",VLOOKUP($E140,Benchmark_URLs!$A$2:$L$46,6,FALSE))</f>
        <v/>
      </c>
      <c r="I140" s="10" t="str">
        <f>IF($E140="","",VLOOKUP($E140,Benchmark_URLs!$A$2:$L$46,7,FALSE))</f>
        <v/>
      </c>
      <c r="J140" s="10" t="str">
        <f>IF($E140="","",VLOOKUP($E140,Benchmark_URLs!$A$2:$L$46,8,FALSE))</f>
        <v/>
      </c>
      <c r="K140" s="10" t="str">
        <f>IF($E140="","",VLOOKUP($E140,Benchmark_URLs!$A$2:$L$46,9,FALSE))</f>
        <v/>
      </c>
      <c r="L140" s="10" t="str">
        <f>IF($E140="","",VLOOKUP($E140,Benchmark_URLs!$A$2:$L$46,10,FALSE))</f>
        <v/>
      </c>
      <c r="M140" s="10" t="str">
        <f>IF($E140="","",VLOOKUP($E140,Benchmark_URLs!$A$2:$L$46,11,FALSE))</f>
        <v/>
      </c>
      <c r="N140" s="16"/>
      <c r="O140" s="16"/>
      <c r="P140" s="16"/>
      <c r="Q140" s="19"/>
      <c r="R140" s="19"/>
      <c r="S140" s="19"/>
      <c r="T140" s="16"/>
      <c r="U140" s="16"/>
      <c r="V140" s="16"/>
      <c r="W140" s="19"/>
      <c r="X140" s="19"/>
      <c r="Y140" s="20"/>
      <c r="Z140" s="20"/>
      <c r="AA140" s="10"/>
      <c r="AB140" s="10"/>
      <c r="AC140" s="15" t="str">
        <f t="shared" si="7"/>
        <v/>
      </c>
      <c r="AD140" s="15" t="str">
        <f t="shared" si="1"/>
        <v/>
      </c>
      <c r="AE140" s="16" t="str">
        <f t="shared" si="11"/>
        <v/>
      </c>
      <c r="AF140" s="16" t="str">
        <f>IF($E140="","",IF($H140="pdf",IFERROR(IF($X140&gt;=Weights!$B$10,1,0),0),1))</f>
        <v/>
      </c>
      <c r="AG140" s="16" t="str">
        <f t="shared" si="12"/>
        <v/>
      </c>
      <c r="AH140" s="15" t="str">
        <f>IF($E140="","",IFERROR((Weights!$B$2*$O140 + Weights!$B$3*$AE140 + Weights!$B$4*$AD140 + Weights!$B$5*(1-$AC140) + Weights!$B$6*$AF140 + Weights!$B$7*$AG140)/SUM(Weights!$B$2:$B$7),"" ))</f>
        <v/>
      </c>
      <c r="AI140" s="15" t="str">
        <f>IF($E140="","",IF($O140=0,0,IFERROR($AH140/MAX(Weights!$B$8,$Y140)/MAX(Weights!$B$9,IF($Z140="",0,$Z140)), "")))</f>
        <v/>
      </c>
      <c r="AJ140" s="17"/>
    </row>
    <row r="141" ht="15.75" customHeight="1">
      <c r="A141" s="10"/>
      <c r="B141" s="39"/>
      <c r="C141" s="10"/>
      <c r="D141" s="10"/>
      <c r="E141" s="10"/>
      <c r="F141" s="10" t="str">
        <f>IF($E141="","",VLOOKUP($E141,Benchmark_URLs!$A$2:$L$46,4,FALSE))</f>
        <v/>
      </c>
      <c r="G141" s="10"/>
      <c r="H141" s="10" t="str">
        <f>IF($E141="","",VLOOKUP($E141,Benchmark_URLs!$A$2:$L$46,6,FALSE))</f>
        <v/>
      </c>
      <c r="I141" s="10" t="str">
        <f>IF($E141="","",VLOOKUP($E141,Benchmark_URLs!$A$2:$L$46,7,FALSE))</f>
        <v/>
      </c>
      <c r="J141" s="10" t="str">
        <f>IF($E141="","",VLOOKUP($E141,Benchmark_URLs!$A$2:$L$46,8,FALSE))</f>
        <v/>
      </c>
      <c r="K141" s="10" t="str">
        <f>IF($E141="","",VLOOKUP($E141,Benchmark_URLs!$A$2:$L$46,9,FALSE))</f>
        <v/>
      </c>
      <c r="L141" s="10" t="str">
        <f>IF($E141="","",VLOOKUP($E141,Benchmark_URLs!$A$2:$L$46,10,FALSE))</f>
        <v/>
      </c>
      <c r="M141" s="10" t="str">
        <f>IF($E141="","",VLOOKUP($E141,Benchmark_URLs!$A$2:$L$46,11,FALSE))</f>
        <v/>
      </c>
      <c r="N141" s="16"/>
      <c r="O141" s="16"/>
      <c r="P141" s="16"/>
      <c r="Q141" s="19"/>
      <c r="R141" s="19"/>
      <c r="S141" s="19"/>
      <c r="T141" s="16"/>
      <c r="U141" s="16"/>
      <c r="V141" s="16"/>
      <c r="W141" s="19"/>
      <c r="X141" s="19"/>
      <c r="Y141" s="20"/>
      <c r="Z141" s="20"/>
      <c r="AA141" s="10"/>
      <c r="AB141" s="10"/>
      <c r="AC141" s="15" t="str">
        <f t="shared" si="7"/>
        <v/>
      </c>
      <c r="AD141" s="15" t="str">
        <f t="shared" si="1"/>
        <v/>
      </c>
      <c r="AE141" s="16" t="str">
        <f t="shared" si="11"/>
        <v/>
      </c>
      <c r="AF141" s="16" t="str">
        <f>IF($E141="","",IF($H141="pdf",IFERROR(IF($X141&gt;=Weights!$B$10,1,0),0),1))</f>
        <v/>
      </c>
      <c r="AG141" s="16" t="str">
        <f t="shared" si="12"/>
        <v/>
      </c>
      <c r="AH141" s="15" t="str">
        <f>IF($E141="","",IFERROR((Weights!$B$2*$O141 + Weights!$B$3*$AE141 + Weights!$B$4*$AD141 + Weights!$B$5*(1-$AC141) + Weights!$B$6*$AF141 + Weights!$B$7*$AG141)/SUM(Weights!$B$2:$B$7),"" ))</f>
        <v/>
      </c>
      <c r="AI141" s="15" t="str">
        <f>IF($E141="","",IF($O141=0,0,IFERROR($AH141/MAX(Weights!$B$8,$Y141)/MAX(Weights!$B$9,IF($Z141="",0,$Z141)), "")))</f>
        <v/>
      </c>
      <c r="AJ141" s="17"/>
    </row>
    <row r="142" ht="15.75" customHeight="1">
      <c r="A142" s="10"/>
      <c r="B142" s="39"/>
      <c r="C142" s="10"/>
      <c r="D142" s="10"/>
      <c r="E142" s="10"/>
      <c r="F142" s="10" t="str">
        <f>IF($E142="","",VLOOKUP($E142,Benchmark_URLs!$A$2:$L$46,4,FALSE))</f>
        <v/>
      </c>
      <c r="G142" s="10"/>
      <c r="H142" s="10" t="str">
        <f>IF($E142="","",VLOOKUP($E142,Benchmark_URLs!$A$2:$L$46,6,FALSE))</f>
        <v/>
      </c>
      <c r="I142" s="10" t="str">
        <f>IF($E142="","",VLOOKUP($E142,Benchmark_URLs!$A$2:$L$46,7,FALSE))</f>
        <v/>
      </c>
      <c r="J142" s="10" t="str">
        <f>IF($E142="","",VLOOKUP($E142,Benchmark_URLs!$A$2:$L$46,8,FALSE))</f>
        <v/>
      </c>
      <c r="K142" s="10" t="str">
        <f>IF($E142="","",VLOOKUP($E142,Benchmark_URLs!$A$2:$L$46,9,FALSE))</f>
        <v/>
      </c>
      <c r="L142" s="10" t="str">
        <f>IF($E142="","",VLOOKUP($E142,Benchmark_URLs!$A$2:$L$46,10,FALSE))</f>
        <v/>
      </c>
      <c r="M142" s="10" t="str">
        <f>IF($E142="","",VLOOKUP($E142,Benchmark_URLs!$A$2:$L$46,11,FALSE))</f>
        <v/>
      </c>
      <c r="N142" s="16"/>
      <c r="O142" s="16"/>
      <c r="P142" s="16"/>
      <c r="Q142" s="19"/>
      <c r="R142" s="19"/>
      <c r="S142" s="19"/>
      <c r="T142" s="16"/>
      <c r="U142" s="16"/>
      <c r="V142" s="16"/>
      <c r="W142" s="19"/>
      <c r="X142" s="19"/>
      <c r="Y142" s="20"/>
      <c r="Z142" s="20"/>
      <c r="AA142" s="10"/>
      <c r="AB142" s="10"/>
      <c r="AC142" s="15" t="str">
        <f t="shared" si="7"/>
        <v/>
      </c>
      <c r="AD142" s="15" t="str">
        <f t="shared" si="1"/>
        <v/>
      </c>
      <c r="AE142" s="16" t="str">
        <f t="shared" si="11"/>
        <v/>
      </c>
      <c r="AF142" s="16" t="str">
        <f>IF($E142="","",IF($H142="pdf",IFERROR(IF($X142&gt;=Weights!$B$10,1,0),0),1))</f>
        <v/>
      </c>
      <c r="AG142" s="16" t="str">
        <f t="shared" si="12"/>
        <v/>
      </c>
      <c r="AH142" s="15" t="str">
        <f>IF($E142="","",IFERROR((Weights!$B$2*$O142 + Weights!$B$3*$AE142 + Weights!$B$4*$AD142 + Weights!$B$5*(1-$AC142) + Weights!$B$6*$AF142 + Weights!$B$7*$AG142)/SUM(Weights!$B$2:$B$7),"" ))</f>
        <v/>
      </c>
      <c r="AI142" s="15" t="str">
        <f>IF($E142="","",IF($O142=0,0,IFERROR($AH142/MAX(Weights!$B$8,$Y142)/MAX(Weights!$B$9,IF($Z142="",0,$Z142)), "")))</f>
        <v/>
      </c>
      <c r="AJ142" s="17"/>
    </row>
    <row r="143" ht="15.75" customHeight="1">
      <c r="A143" s="10"/>
      <c r="B143" s="39"/>
      <c r="C143" s="10"/>
      <c r="D143" s="10"/>
      <c r="E143" s="10"/>
      <c r="F143" s="10" t="str">
        <f>IF($E143="","",VLOOKUP($E143,Benchmark_URLs!$A$2:$L$46,4,FALSE))</f>
        <v/>
      </c>
      <c r="G143" s="10"/>
      <c r="H143" s="10" t="str">
        <f>IF($E143="","",VLOOKUP($E143,Benchmark_URLs!$A$2:$L$46,6,FALSE))</f>
        <v/>
      </c>
      <c r="I143" s="10" t="str">
        <f>IF($E143="","",VLOOKUP($E143,Benchmark_URLs!$A$2:$L$46,7,FALSE))</f>
        <v/>
      </c>
      <c r="J143" s="10" t="str">
        <f>IF($E143="","",VLOOKUP($E143,Benchmark_URLs!$A$2:$L$46,8,FALSE))</f>
        <v/>
      </c>
      <c r="K143" s="10" t="str">
        <f>IF($E143="","",VLOOKUP($E143,Benchmark_URLs!$A$2:$L$46,9,FALSE))</f>
        <v/>
      </c>
      <c r="L143" s="10" t="str">
        <f>IF($E143="","",VLOOKUP($E143,Benchmark_URLs!$A$2:$L$46,10,FALSE))</f>
        <v/>
      </c>
      <c r="M143" s="10" t="str">
        <f>IF($E143="","",VLOOKUP($E143,Benchmark_URLs!$A$2:$L$46,11,FALSE))</f>
        <v/>
      </c>
      <c r="N143" s="16"/>
      <c r="O143" s="16"/>
      <c r="P143" s="16"/>
      <c r="Q143" s="19"/>
      <c r="R143" s="19"/>
      <c r="S143" s="19"/>
      <c r="T143" s="16"/>
      <c r="U143" s="16"/>
      <c r="V143" s="16"/>
      <c r="W143" s="19"/>
      <c r="X143" s="19"/>
      <c r="Y143" s="20"/>
      <c r="Z143" s="20"/>
      <c r="AA143" s="10"/>
      <c r="AB143" s="10"/>
      <c r="AC143" s="15" t="str">
        <f t="shared" si="7"/>
        <v/>
      </c>
      <c r="AD143" s="15" t="str">
        <f t="shared" si="1"/>
        <v/>
      </c>
      <c r="AE143" s="16" t="str">
        <f t="shared" si="11"/>
        <v/>
      </c>
      <c r="AF143" s="16" t="str">
        <f>IF($E143="","",IF($H143="pdf",IFERROR(IF($X143&gt;=Weights!$B$10,1,0),0),1))</f>
        <v/>
      </c>
      <c r="AG143" s="16" t="str">
        <f t="shared" si="12"/>
        <v/>
      </c>
      <c r="AH143" s="15" t="str">
        <f>IF($E143="","",IFERROR((Weights!$B$2*$O143 + Weights!$B$3*$AE143 + Weights!$B$4*$AD143 + Weights!$B$5*(1-$AC143) + Weights!$B$6*$AF143 + Weights!$B$7*$AG143)/SUM(Weights!$B$2:$B$7),"" ))</f>
        <v/>
      </c>
      <c r="AI143" s="15" t="str">
        <f>IF($E143="","",IF($O143=0,0,IFERROR($AH143/MAX(Weights!$B$8,$Y143)/MAX(Weights!$B$9,IF($Z143="",0,$Z143)), "")))</f>
        <v/>
      </c>
      <c r="AJ143" s="17"/>
    </row>
    <row r="144" ht="15.75" customHeight="1">
      <c r="A144" s="10"/>
      <c r="B144" s="39"/>
      <c r="C144" s="10"/>
      <c r="D144" s="10"/>
      <c r="E144" s="10"/>
      <c r="F144" s="10" t="str">
        <f>IF($E144="","",VLOOKUP($E144,Benchmark_URLs!$A$2:$L$46,4,FALSE))</f>
        <v/>
      </c>
      <c r="G144" s="10"/>
      <c r="H144" s="10" t="str">
        <f>IF($E144="","",VLOOKUP($E144,Benchmark_URLs!$A$2:$L$46,6,FALSE))</f>
        <v/>
      </c>
      <c r="I144" s="10" t="str">
        <f>IF($E144="","",VLOOKUP($E144,Benchmark_URLs!$A$2:$L$46,7,FALSE))</f>
        <v/>
      </c>
      <c r="J144" s="10" t="str">
        <f>IF($E144="","",VLOOKUP($E144,Benchmark_URLs!$A$2:$L$46,8,FALSE))</f>
        <v/>
      </c>
      <c r="K144" s="10" t="str">
        <f>IF($E144="","",VLOOKUP($E144,Benchmark_URLs!$A$2:$L$46,9,FALSE))</f>
        <v/>
      </c>
      <c r="L144" s="10" t="str">
        <f>IF($E144="","",VLOOKUP($E144,Benchmark_URLs!$A$2:$L$46,10,FALSE))</f>
        <v/>
      </c>
      <c r="M144" s="10" t="str">
        <f>IF($E144="","",VLOOKUP($E144,Benchmark_URLs!$A$2:$L$46,11,FALSE))</f>
        <v/>
      </c>
      <c r="N144" s="16"/>
      <c r="O144" s="16"/>
      <c r="P144" s="16"/>
      <c r="Q144" s="19"/>
      <c r="R144" s="19"/>
      <c r="S144" s="19"/>
      <c r="T144" s="16"/>
      <c r="U144" s="16"/>
      <c r="V144" s="16"/>
      <c r="W144" s="19"/>
      <c r="X144" s="19"/>
      <c r="Y144" s="20"/>
      <c r="Z144" s="20"/>
      <c r="AA144" s="10"/>
      <c r="AB144" s="10"/>
      <c r="AC144" s="15" t="str">
        <f t="shared" si="7"/>
        <v/>
      </c>
      <c r="AD144" s="15" t="str">
        <f t="shared" si="1"/>
        <v/>
      </c>
      <c r="AE144" s="16" t="str">
        <f t="shared" si="11"/>
        <v/>
      </c>
      <c r="AF144" s="16" t="str">
        <f>IF($E144="","",IF($H144="pdf",IFERROR(IF($X144&gt;=Weights!$B$10,1,0),0),1))</f>
        <v/>
      </c>
      <c r="AG144" s="16" t="str">
        <f t="shared" si="12"/>
        <v/>
      </c>
      <c r="AH144" s="15" t="str">
        <f>IF($E144="","",IFERROR((Weights!$B$2*$O144 + Weights!$B$3*$AE144 + Weights!$B$4*$AD144 + Weights!$B$5*(1-$AC144) + Weights!$B$6*$AF144 + Weights!$B$7*$AG144)/SUM(Weights!$B$2:$B$7),"" ))</f>
        <v/>
      </c>
      <c r="AI144" s="15" t="str">
        <f>IF($E144="","",IF($O144=0,0,IFERROR($AH144/MAX(Weights!$B$8,$Y144)/MAX(Weights!$B$9,IF($Z144="",0,$Z144)), "")))</f>
        <v/>
      </c>
      <c r="AJ144" s="17"/>
    </row>
    <row r="145" ht="15.75" customHeight="1">
      <c r="A145" s="10"/>
      <c r="B145" s="39"/>
      <c r="C145" s="10"/>
      <c r="D145" s="10"/>
      <c r="E145" s="10"/>
      <c r="F145" s="10" t="str">
        <f>IF($E145="","",VLOOKUP($E145,Benchmark_URLs!$A$2:$L$46,4,FALSE))</f>
        <v/>
      </c>
      <c r="G145" s="10"/>
      <c r="H145" s="10" t="str">
        <f>IF($E145="","",VLOOKUP($E145,Benchmark_URLs!$A$2:$L$46,6,FALSE))</f>
        <v/>
      </c>
      <c r="I145" s="10" t="str">
        <f>IF($E145="","",VLOOKUP($E145,Benchmark_URLs!$A$2:$L$46,7,FALSE))</f>
        <v/>
      </c>
      <c r="J145" s="10" t="str">
        <f>IF($E145="","",VLOOKUP($E145,Benchmark_URLs!$A$2:$L$46,8,FALSE))</f>
        <v/>
      </c>
      <c r="K145" s="10" t="str">
        <f>IF($E145="","",VLOOKUP($E145,Benchmark_URLs!$A$2:$L$46,9,FALSE))</f>
        <v/>
      </c>
      <c r="L145" s="10" t="str">
        <f>IF($E145="","",VLOOKUP($E145,Benchmark_URLs!$A$2:$L$46,10,FALSE))</f>
        <v/>
      </c>
      <c r="M145" s="10" t="str">
        <f>IF($E145="","",VLOOKUP($E145,Benchmark_URLs!$A$2:$L$46,11,FALSE))</f>
        <v/>
      </c>
      <c r="N145" s="16"/>
      <c r="O145" s="16"/>
      <c r="P145" s="16"/>
      <c r="Q145" s="19"/>
      <c r="R145" s="19"/>
      <c r="S145" s="19"/>
      <c r="T145" s="16"/>
      <c r="U145" s="16"/>
      <c r="V145" s="16"/>
      <c r="W145" s="19"/>
      <c r="X145" s="19"/>
      <c r="Y145" s="20"/>
      <c r="Z145" s="20"/>
      <c r="AA145" s="10"/>
      <c r="AB145" s="10"/>
      <c r="AC145" s="15" t="str">
        <f t="shared" si="7"/>
        <v/>
      </c>
      <c r="AD145" s="15" t="str">
        <f t="shared" si="1"/>
        <v/>
      </c>
      <c r="AE145" s="16" t="str">
        <f t="shared" si="11"/>
        <v/>
      </c>
      <c r="AF145" s="16" t="str">
        <f>IF($E145="","",IF($H145="pdf",IFERROR(IF($X145&gt;=Weights!$B$10,1,0),0),1))</f>
        <v/>
      </c>
      <c r="AG145" s="16" t="str">
        <f t="shared" si="12"/>
        <v/>
      </c>
      <c r="AH145" s="15" t="str">
        <f>IF($E145="","",IFERROR((Weights!$B$2*$O145 + Weights!$B$3*$AE145 + Weights!$B$4*$AD145 + Weights!$B$5*(1-$AC145) + Weights!$B$6*$AF145 + Weights!$B$7*$AG145)/SUM(Weights!$B$2:$B$7),"" ))</f>
        <v/>
      </c>
      <c r="AI145" s="15" t="str">
        <f>IF($E145="","",IF($O145=0,0,IFERROR($AH145/MAX(Weights!$B$8,$Y145)/MAX(Weights!$B$9,IF($Z145="",0,$Z145)), "")))</f>
        <v/>
      </c>
      <c r="AJ145" s="17"/>
    </row>
    <row r="146" ht="15.75" customHeight="1">
      <c r="A146" s="10"/>
      <c r="B146" s="39"/>
      <c r="C146" s="10"/>
      <c r="D146" s="10"/>
      <c r="E146" s="10"/>
      <c r="F146" s="10" t="str">
        <f>IF($E146="","",VLOOKUP($E146,Benchmark_URLs!$A$2:$L$46,4,FALSE))</f>
        <v/>
      </c>
      <c r="G146" s="10"/>
      <c r="H146" s="10" t="str">
        <f>IF($E146="","",VLOOKUP($E146,Benchmark_URLs!$A$2:$L$46,6,FALSE))</f>
        <v/>
      </c>
      <c r="I146" s="10" t="str">
        <f>IF($E146="","",VLOOKUP($E146,Benchmark_URLs!$A$2:$L$46,7,FALSE))</f>
        <v/>
      </c>
      <c r="J146" s="10" t="str">
        <f>IF($E146="","",VLOOKUP($E146,Benchmark_URLs!$A$2:$L$46,8,FALSE))</f>
        <v/>
      </c>
      <c r="K146" s="10" t="str">
        <f>IF($E146="","",VLOOKUP($E146,Benchmark_URLs!$A$2:$L$46,9,FALSE))</f>
        <v/>
      </c>
      <c r="L146" s="10" t="str">
        <f>IF($E146="","",VLOOKUP($E146,Benchmark_URLs!$A$2:$L$46,10,FALSE))</f>
        <v/>
      </c>
      <c r="M146" s="10" t="str">
        <f>IF($E146="","",VLOOKUP($E146,Benchmark_URLs!$A$2:$L$46,11,FALSE))</f>
        <v/>
      </c>
      <c r="N146" s="16"/>
      <c r="O146" s="16"/>
      <c r="P146" s="16"/>
      <c r="Q146" s="19"/>
      <c r="R146" s="19"/>
      <c r="S146" s="19"/>
      <c r="T146" s="16"/>
      <c r="U146" s="16"/>
      <c r="V146" s="16"/>
      <c r="W146" s="19"/>
      <c r="X146" s="19"/>
      <c r="Y146" s="20"/>
      <c r="Z146" s="20"/>
      <c r="AA146" s="10"/>
      <c r="AB146" s="10"/>
      <c r="AC146" s="15" t="str">
        <f t="shared" si="7"/>
        <v/>
      </c>
      <c r="AD146" s="15" t="str">
        <f t="shared" si="1"/>
        <v/>
      </c>
      <c r="AE146" s="16" t="str">
        <f t="shared" si="11"/>
        <v/>
      </c>
      <c r="AF146" s="16" t="str">
        <f>IF($E146="","",IF($H146="pdf",IFERROR(IF($X146&gt;=Weights!$B$10,1,0),0),1))</f>
        <v/>
      </c>
      <c r="AG146" s="16" t="str">
        <f t="shared" si="12"/>
        <v/>
      </c>
      <c r="AH146" s="15" t="str">
        <f>IF($E146="","",IFERROR((Weights!$B$2*$O146 + Weights!$B$3*$AE146 + Weights!$B$4*$AD146 + Weights!$B$5*(1-$AC146) + Weights!$B$6*$AF146 + Weights!$B$7*$AG146)/SUM(Weights!$B$2:$B$7),"" ))</f>
        <v/>
      </c>
      <c r="AI146" s="15" t="str">
        <f>IF($E146="","",IF($O146=0,0,IFERROR($AH146/MAX(Weights!$B$8,$Y146)/MAX(Weights!$B$9,IF($Z146="",0,$Z146)), "")))</f>
        <v/>
      </c>
      <c r="AJ146" s="17"/>
    </row>
    <row r="147" ht="15.75" customHeight="1">
      <c r="A147" s="10"/>
      <c r="B147" s="39"/>
      <c r="C147" s="10"/>
      <c r="D147" s="10"/>
      <c r="E147" s="10"/>
      <c r="F147" s="10" t="str">
        <f>IF($E147="","",VLOOKUP($E147,Benchmark_URLs!$A$2:$L$46,4,FALSE))</f>
        <v/>
      </c>
      <c r="G147" s="10"/>
      <c r="H147" s="10" t="str">
        <f>IF($E147="","",VLOOKUP($E147,Benchmark_URLs!$A$2:$L$46,6,FALSE))</f>
        <v/>
      </c>
      <c r="I147" s="10" t="str">
        <f>IF($E147="","",VLOOKUP($E147,Benchmark_URLs!$A$2:$L$46,7,FALSE))</f>
        <v/>
      </c>
      <c r="J147" s="10" t="str">
        <f>IF($E147="","",VLOOKUP($E147,Benchmark_URLs!$A$2:$L$46,8,FALSE))</f>
        <v/>
      </c>
      <c r="K147" s="10" t="str">
        <f>IF($E147="","",VLOOKUP($E147,Benchmark_URLs!$A$2:$L$46,9,FALSE))</f>
        <v/>
      </c>
      <c r="L147" s="10" t="str">
        <f>IF($E147="","",VLOOKUP($E147,Benchmark_URLs!$A$2:$L$46,10,FALSE))</f>
        <v/>
      </c>
      <c r="M147" s="10" t="str">
        <f>IF($E147="","",VLOOKUP($E147,Benchmark_URLs!$A$2:$L$46,11,FALSE))</f>
        <v/>
      </c>
      <c r="N147" s="16"/>
      <c r="O147" s="16"/>
      <c r="P147" s="16"/>
      <c r="Q147" s="19"/>
      <c r="R147" s="19"/>
      <c r="S147" s="19"/>
      <c r="T147" s="16"/>
      <c r="U147" s="16"/>
      <c r="V147" s="16"/>
      <c r="W147" s="19"/>
      <c r="X147" s="19"/>
      <c r="Y147" s="20"/>
      <c r="Z147" s="20"/>
      <c r="AA147" s="10"/>
      <c r="AB147" s="10"/>
      <c r="AC147" s="15" t="str">
        <f t="shared" si="7"/>
        <v/>
      </c>
      <c r="AD147" s="15" t="str">
        <f t="shared" si="1"/>
        <v/>
      </c>
      <c r="AE147" s="16" t="str">
        <f t="shared" si="11"/>
        <v/>
      </c>
      <c r="AF147" s="16" t="str">
        <f>IF($E147="","",IF($H147="pdf",IFERROR(IF($X147&gt;=Weights!$B$10,1,0),0),1))</f>
        <v/>
      </c>
      <c r="AG147" s="16" t="str">
        <f t="shared" si="12"/>
        <v/>
      </c>
      <c r="AH147" s="15" t="str">
        <f>IF($E147="","",IFERROR((Weights!$B$2*$O147 + Weights!$B$3*$AE147 + Weights!$B$4*$AD147 + Weights!$B$5*(1-$AC147) + Weights!$B$6*$AF147 + Weights!$B$7*$AG147)/SUM(Weights!$B$2:$B$7),"" ))</f>
        <v/>
      </c>
      <c r="AI147" s="15" t="str">
        <f>IF($E147="","",IF($O147=0,0,IFERROR($AH147/MAX(Weights!$B$8,$Y147)/MAX(Weights!$B$9,IF($Z147="",0,$Z147)), "")))</f>
        <v/>
      </c>
      <c r="AJ147" s="17"/>
    </row>
    <row r="148" ht="15.75" customHeight="1">
      <c r="A148" s="10"/>
      <c r="B148" s="39"/>
      <c r="C148" s="10"/>
      <c r="D148" s="10"/>
      <c r="E148" s="10"/>
      <c r="F148" s="10" t="str">
        <f>IF($E148="","",VLOOKUP($E148,Benchmark_URLs!$A$2:$L$46,4,FALSE))</f>
        <v/>
      </c>
      <c r="G148" s="10"/>
      <c r="H148" s="10" t="str">
        <f>IF($E148="","",VLOOKUP($E148,Benchmark_URLs!$A$2:$L$46,6,FALSE))</f>
        <v/>
      </c>
      <c r="I148" s="10" t="str">
        <f>IF($E148="","",VLOOKUP($E148,Benchmark_URLs!$A$2:$L$46,7,FALSE))</f>
        <v/>
      </c>
      <c r="J148" s="10" t="str">
        <f>IF($E148="","",VLOOKUP($E148,Benchmark_URLs!$A$2:$L$46,8,FALSE))</f>
        <v/>
      </c>
      <c r="K148" s="10" t="str">
        <f>IF($E148="","",VLOOKUP($E148,Benchmark_URLs!$A$2:$L$46,9,FALSE))</f>
        <v/>
      </c>
      <c r="L148" s="10" t="str">
        <f>IF($E148="","",VLOOKUP($E148,Benchmark_URLs!$A$2:$L$46,10,FALSE))</f>
        <v/>
      </c>
      <c r="M148" s="10" t="str">
        <f>IF($E148="","",VLOOKUP($E148,Benchmark_URLs!$A$2:$L$46,11,FALSE))</f>
        <v/>
      </c>
      <c r="N148" s="16"/>
      <c r="O148" s="16"/>
      <c r="P148" s="16"/>
      <c r="Q148" s="19"/>
      <c r="R148" s="19"/>
      <c r="S148" s="19"/>
      <c r="T148" s="16"/>
      <c r="U148" s="16"/>
      <c r="V148" s="16"/>
      <c r="W148" s="19"/>
      <c r="X148" s="19"/>
      <c r="Y148" s="20"/>
      <c r="Z148" s="20"/>
      <c r="AA148" s="10"/>
      <c r="AB148" s="10"/>
      <c r="AC148" s="15" t="str">
        <f t="shared" si="7"/>
        <v/>
      </c>
      <c r="AD148" s="15" t="str">
        <f t="shared" si="1"/>
        <v/>
      </c>
      <c r="AE148" s="16" t="str">
        <f t="shared" si="11"/>
        <v/>
      </c>
      <c r="AF148" s="16" t="str">
        <f>IF($E148="","",IF($H148="pdf",IFERROR(IF($X148&gt;=Weights!$B$10,1,0),0),1))</f>
        <v/>
      </c>
      <c r="AG148" s="16" t="str">
        <f t="shared" si="12"/>
        <v/>
      </c>
      <c r="AH148" s="15" t="str">
        <f>IF($E148="","",IFERROR((Weights!$B$2*$O148 + Weights!$B$3*$AE148 + Weights!$B$4*$AD148 + Weights!$B$5*(1-$AC148) + Weights!$B$6*$AF148 + Weights!$B$7*$AG148)/SUM(Weights!$B$2:$B$7),"" ))</f>
        <v/>
      </c>
      <c r="AI148" s="15" t="str">
        <f>IF($E148="","",IF($O148=0,0,IFERROR($AH148/MAX(Weights!$B$8,$Y148)/MAX(Weights!$B$9,IF($Z148="",0,$Z148)), "")))</f>
        <v/>
      </c>
      <c r="AJ148" s="17"/>
    </row>
    <row r="149" ht="15.75" customHeight="1">
      <c r="A149" s="10"/>
      <c r="B149" s="39"/>
      <c r="C149" s="10"/>
      <c r="D149" s="10"/>
      <c r="E149" s="10"/>
      <c r="F149" s="10" t="str">
        <f>IF($E149="","",VLOOKUP($E149,Benchmark_URLs!$A$2:$L$46,4,FALSE))</f>
        <v/>
      </c>
      <c r="G149" s="10"/>
      <c r="H149" s="10" t="str">
        <f>IF($E149="","",VLOOKUP($E149,Benchmark_URLs!$A$2:$L$46,6,FALSE))</f>
        <v/>
      </c>
      <c r="I149" s="10" t="str">
        <f>IF($E149="","",VLOOKUP($E149,Benchmark_URLs!$A$2:$L$46,7,FALSE))</f>
        <v/>
      </c>
      <c r="J149" s="10" t="str">
        <f>IF($E149="","",VLOOKUP($E149,Benchmark_URLs!$A$2:$L$46,8,FALSE))</f>
        <v/>
      </c>
      <c r="K149" s="10" t="str">
        <f>IF($E149="","",VLOOKUP($E149,Benchmark_URLs!$A$2:$L$46,9,FALSE))</f>
        <v/>
      </c>
      <c r="L149" s="10" t="str">
        <f>IF($E149="","",VLOOKUP($E149,Benchmark_URLs!$A$2:$L$46,10,FALSE))</f>
        <v/>
      </c>
      <c r="M149" s="10" t="str">
        <f>IF($E149="","",VLOOKUP($E149,Benchmark_URLs!$A$2:$L$46,11,FALSE))</f>
        <v/>
      </c>
      <c r="N149" s="16"/>
      <c r="O149" s="16"/>
      <c r="P149" s="16"/>
      <c r="Q149" s="19"/>
      <c r="R149" s="19"/>
      <c r="S149" s="19"/>
      <c r="T149" s="16"/>
      <c r="U149" s="16"/>
      <c r="V149" s="16"/>
      <c r="W149" s="19"/>
      <c r="X149" s="19"/>
      <c r="Y149" s="20"/>
      <c r="Z149" s="20"/>
      <c r="AA149" s="10"/>
      <c r="AB149" s="10"/>
      <c r="AC149" s="15" t="str">
        <f t="shared" si="7"/>
        <v/>
      </c>
      <c r="AD149" s="15" t="str">
        <f t="shared" si="1"/>
        <v/>
      </c>
      <c r="AE149" s="16" t="str">
        <f t="shared" si="11"/>
        <v/>
      </c>
      <c r="AF149" s="16" t="str">
        <f>IF($E149="","",IF($H149="pdf",IFERROR(IF($X149&gt;=Weights!$B$10,1,0),0),1))</f>
        <v/>
      </c>
      <c r="AG149" s="16" t="str">
        <f t="shared" si="12"/>
        <v/>
      </c>
      <c r="AH149" s="15" t="str">
        <f>IF($E149="","",IFERROR((Weights!$B$2*$O149 + Weights!$B$3*$AE149 + Weights!$B$4*$AD149 + Weights!$B$5*(1-$AC149) + Weights!$B$6*$AF149 + Weights!$B$7*$AG149)/SUM(Weights!$B$2:$B$7),"" ))</f>
        <v/>
      </c>
      <c r="AI149" s="15" t="str">
        <f>IF($E149="","",IF($O149=0,0,IFERROR($AH149/MAX(Weights!$B$8,$Y149)/MAX(Weights!$B$9,IF($Z149="",0,$Z149)), "")))</f>
        <v/>
      </c>
      <c r="AJ149" s="17"/>
    </row>
    <row r="150" ht="15.75" customHeight="1">
      <c r="A150" s="10"/>
      <c r="B150" s="39"/>
      <c r="C150" s="10"/>
      <c r="D150" s="10"/>
      <c r="E150" s="10"/>
      <c r="F150" s="10" t="str">
        <f>IF($E150="","",VLOOKUP($E150,Benchmark_URLs!$A$2:$L$46,4,FALSE))</f>
        <v/>
      </c>
      <c r="G150" s="10"/>
      <c r="H150" s="10" t="str">
        <f>IF($E150="","",VLOOKUP($E150,Benchmark_URLs!$A$2:$L$46,6,FALSE))</f>
        <v/>
      </c>
      <c r="I150" s="10" t="str">
        <f>IF($E150="","",VLOOKUP($E150,Benchmark_URLs!$A$2:$L$46,7,FALSE))</f>
        <v/>
      </c>
      <c r="J150" s="10" t="str">
        <f>IF($E150="","",VLOOKUP($E150,Benchmark_URLs!$A$2:$L$46,8,FALSE))</f>
        <v/>
      </c>
      <c r="K150" s="10" t="str">
        <f>IF($E150="","",VLOOKUP($E150,Benchmark_URLs!$A$2:$L$46,9,FALSE))</f>
        <v/>
      </c>
      <c r="L150" s="10" t="str">
        <f>IF($E150="","",VLOOKUP($E150,Benchmark_URLs!$A$2:$L$46,10,FALSE))</f>
        <v/>
      </c>
      <c r="M150" s="10" t="str">
        <f>IF($E150="","",VLOOKUP($E150,Benchmark_URLs!$A$2:$L$46,11,FALSE))</f>
        <v/>
      </c>
      <c r="N150" s="16"/>
      <c r="O150" s="16"/>
      <c r="P150" s="16"/>
      <c r="Q150" s="19"/>
      <c r="R150" s="19"/>
      <c r="S150" s="19"/>
      <c r="T150" s="16"/>
      <c r="U150" s="16"/>
      <c r="V150" s="16"/>
      <c r="W150" s="19"/>
      <c r="X150" s="19"/>
      <c r="Y150" s="20"/>
      <c r="Z150" s="20"/>
      <c r="AA150" s="10"/>
      <c r="AB150" s="10"/>
      <c r="AC150" s="15" t="str">
        <f t="shared" si="7"/>
        <v/>
      </c>
      <c r="AD150" s="15" t="str">
        <f t="shared" si="1"/>
        <v/>
      </c>
      <c r="AE150" s="16" t="str">
        <f t="shared" si="11"/>
        <v/>
      </c>
      <c r="AF150" s="16" t="str">
        <f>IF($E150="","",IF($H150="pdf",IFERROR(IF($X150&gt;=Weights!$B$10,1,0),0),1))</f>
        <v/>
      </c>
      <c r="AG150" s="16" t="str">
        <f t="shared" si="12"/>
        <v/>
      </c>
      <c r="AH150" s="15" t="str">
        <f>IF($E150="","",IFERROR((Weights!$B$2*$O150 + Weights!$B$3*$AE150 + Weights!$B$4*$AD150 + Weights!$B$5*(1-$AC150) + Weights!$B$6*$AF150 + Weights!$B$7*$AG150)/SUM(Weights!$B$2:$B$7),"" ))</f>
        <v/>
      </c>
      <c r="AI150" s="15" t="str">
        <f>IF($E150="","",IF($O150=0,0,IFERROR($AH150/MAX(Weights!$B$8,$Y150)/MAX(Weights!$B$9,IF($Z150="",0,$Z150)), "")))</f>
        <v/>
      </c>
      <c r="AJ150" s="17"/>
    </row>
    <row r="151" ht="15.75" customHeight="1">
      <c r="A151" s="10"/>
      <c r="B151" s="39"/>
      <c r="C151" s="10"/>
      <c r="D151" s="10"/>
      <c r="E151" s="10"/>
      <c r="F151" s="10" t="str">
        <f>IF($E151="","",VLOOKUP($E151,Benchmark_URLs!$A$2:$L$46,4,FALSE))</f>
        <v/>
      </c>
      <c r="G151" s="10"/>
      <c r="H151" s="10" t="str">
        <f>IF($E151="","",VLOOKUP($E151,Benchmark_URLs!$A$2:$L$46,6,FALSE))</f>
        <v/>
      </c>
      <c r="I151" s="10" t="str">
        <f>IF($E151="","",VLOOKUP($E151,Benchmark_URLs!$A$2:$L$46,7,FALSE))</f>
        <v/>
      </c>
      <c r="J151" s="10" t="str">
        <f>IF($E151="","",VLOOKUP($E151,Benchmark_URLs!$A$2:$L$46,8,FALSE))</f>
        <v/>
      </c>
      <c r="K151" s="10" t="str">
        <f>IF($E151="","",VLOOKUP($E151,Benchmark_URLs!$A$2:$L$46,9,FALSE))</f>
        <v/>
      </c>
      <c r="L151" s="10" t="str">
        <f>IF($E151="","",VLOOKUP($E151,Benchmark_URLs!$A$2:$L$46,10,FALSE))</f>
        <v/>
      </c>
      <c r="M151" s="10" t="str">
        <f>IF($E151="","",VLOOKUP($E151,Benchmark_URLs!$A$2:$L$46,11,FALSE))</f>
        <v/>
      </c>
      <c r="N151" s="16"/>
      <c r="O151" s="16"/>
      <c r="P151" s="16"/>
      <c r="Q151" s="19"/>
      <c r="R151" s="19"/>
      <c r="S151" s="19"/>
      <c r="T151" s="16"/>
      <c r="U151" s="16"/>
      <c r="V151" s="16"/>
      <c r="W151" s="19"/>
      <c r="X151" s="19"/>
      <c r="Y151" s="20"/>
      <c r="Z151" s="20"/>
      <c r="AA151" s="10"/>
      <c r="AB151" s="10"/>
      <c r="AC151" s="15" t="str">
        <f t="shared" si="7"/>
        <v/>
      </c>
      <c r="AD151" s="15" t="str">
        <f t="shared" si="1"/>
        <v/>
      </c>
      <c r="AE151" s="16" t="str">
        <f t="shared" si="11"/>
        <v/>
      </c>
      <c r="AF151" s="16" t="str">
        <f>IF($E151="","",IF($H151="pdf",IFERROR(IF($X151&gt;=Weights!$B$10,1,0),0),1))</f>
        <v/>
      </c>
      <c r="AG151" s="16" t="str">
        <f t="shared" si="12"/>
        <v/>
      </c>
      <c r="AH151" s="15" t="str">
        <f>IF($E151="","",IFERROR((Weights!$B$2*$O151 + Weights!$B$3*$AE151 + Weights!$B$4*$AD151 + Weights!$B$5*(1-$AC151) + Weights!$B$6*$AF151 + Weights!$B$7*$AG151)/SUM(Weights!$B$2:$B$7),"" ))</f>
        <v/>
      </c>
      <c r="AI151" s="15" t="str">
        <f>IF($E151="","",IF($O151=0,0,IFERROR($AH151/MAX(Weights!$B$8,$Y151)/MAX(Weights!$B$9,IF($Z151="",0,$Z151)), "")))</f>
        <v/>
      </c>
      <c r="AJ151" s="17"/>
    </row>
    <row r="152" ht="15.75" customHeight="1">
      <c r="A152" s="10"/>
      <c r="B152" s="39"/>
      <c r="C152" s="10"/>
      <c r="D152" s="10"/>
      <c r="E152" s="10"/>
      <c r="F152" s="10" t="str">
        <f>IF($E152="","",VLOOKUP($E152,Benchmark_URLs!$A$2:$L$46,4,FALSE))</f>
        <v/>
      </c>
      <c r="G152" s="10"/>
      <c r="H152" s="10" t="str">
        <f>IF($E152="","",VLOOKUP($E152,Benchmark_URLs!$A$2:$L$46,6,FALSE))</f>
        <v/>
      </c>
      <c r="I152" s="10" t="str">
        <f>IF($E152="","",VLOOKUP($E152,Benchmark_URLs!$A$2:$L$46,7,FALSE))</f>
        <v/>
      </c>
      <c r="J152" s="10" t="str">
        <f>IF($E152="","",VLOOKUP($E152,Benchmark_URLs!$A$2:$L$46,8,FALSE))</f>
        <v/>
      </c>
      <c r="K152" s="10" t="str">
        <f>IF($E152="","",VLOOKUP($E152,Benchmark_URLs!$A$2:$L$46,9,FALSE))</f>
        <v/>
      </c>
      <c r="L152" s="10" t="str">
        <f>IF($E152="","",VLOOKUP($E152,Benchmark_URLs!$A$2:$L$46,10,FALSE))</f>
        <v/>
      </c>
      <c r="M152" s="10" t="str">
        <f>IF($E152="","",VLOOKUP($E152,Benchmark_URLs!$A$2:$L$46,11,FALSE))</f>
        <v/>
      </c>
      <c r="N152" s="16"/>
      <c r="O152" s="16"/>
      <c r="P152" s="16"/>
      <c r="Q152" s="19"/>
      <c r="R152" s="19"/>
      <c r="S152" s="19"/>
      <c r="T152" s="16"/>
      <c r="U152" s="16"/>
      <c r="V152" s="16"/>
      <c r="W152" s="19"/>
      <c r="X152" s="19"/>
      <c r="Y152" s="20"/>
      <c r="Z152" s="20"/>
      <c r="AA152" s="10"/>
      <c r="AB152" s="10"/>
      <c r="AC152" s="15" t="str">
        <f t="shared" si="7"/>
        <v/>
      </c>
      <c r="AD152" s="15" t="str">
        <f t="shared" si="1"/>
        <v/>
      </c>
      <c r="AE152" s="16" t="str">
        <f t="shared" si="11"/>
        <v/>
      </c>
      <c r="AF152" s="16" t="str">
        <f>IF($E152="","",IF($H152="pdf",IFERROR(IF($X152&gt;=Weights!$B$10,1,0),0),1))</f>
        <v/>
      </c>
      <c r="AG152" s="16" t="str">
        <f t="shared" si="12"/>
        <v/>
      </c>
      <c r="AH152" s="15" t="str">
        <f>IF($E152="","",IFERROR((Weights!$B$2*$O152 + Weights!$B$3*$AE152 + Weights!$B$4*$AD152 + Weights!$B$5*(1-$AC152) + Weights!$B$6*$AF152 + Weights!$B$7*$AG152)/SUM(Weights!$B$2:$B$7),"" ))</f>
        <v/>
      </c>
      <c r="AI152" s="15" t="str">
        <f>IF($E152="","",IF($O152=0,0,IFERROR($AH152/MAX(Weights!$B$8,$Y152)/MAX(Weights!$B$9,IF($Z152="",0,$Z152)), "")))</f>
        <v/>
      </c>
      <c r="AJ152" s="17"/>
    </row>
    <row r="153" ht="15.75" customHeight="1">
      <c r="A153" s="10"/>
      <c r="B153" s="39"/>
      <c r="C153" s="10"/>
      <c r="D153" s="10"/>
      <c r="E153" s="10"/>
      <c r="F153" s="10" t="str">
        <f>IF($E153="","",VLOOKUP($E153,Benchmark_URLs!$A$2:$L$46,4,FALSE))</f>
        <v/>
      </c>
      <c r="G153" s="10"/>
      <c r="H153" s="10" t="str">
        <f>IF($E153="","",VLOOKUP($E153,Benchmark_URLs!$A$2:$L$46,6,FALSE))</f>
        <v/>
      </c>
      <c r="I153" s="10" t="str">
        <f>IF($E153="","",VLOOKUP($E153,Benchmark_URLs!$A$2:$L$46,7,FALSE))</f>
        <v/>
      </c>
      <c r="J153" s="10" t="str">
        <f>IF($E153="","",VLOOKUP($E153,Benchmark_URLs!$A$2:$L$46,8,FALSE))</f>
        <v/>
      </c>
      <c r="K153" s="10" t="str">
        <f>IF($E153="","",VLOOKUP($E153,Benchmark_URLs!$A$2:$L$46,9,FALSE))</f>
        <v/>
      </c>
      <c r="L153" s="10" t="str">
        <f>IF($E153="","",VLOOKUP($E153,Benchmark_URLs!$A$2:$L$46,10,FALSE))</f>
        <v/>
      </c>
      <c r="M153" s="10" t="str">
        <f>IF($E153="","",VLOOKUP($E153,Benchmark_URLs!$A$2:$L$46,11,FALSE))</f>
        <v/>
      </c>
      <c r="N153" s="16"/>
      <c r="O153" s="16"/>
      <c r="P153" s="16"/>
      <c r="Q153" s="19"/>
      <c r="R153" s="19"/>
      <c r="S153" s="19"/>
      <c r="T153" s="16"/>
      <c r="U153" s="16"/>
      <c r="V153" s="16"/>
      <c r="W153" s="19"/>
      <c r="X153" s="19"/>
      <c r="Y153" s="20"/>
      <c r="Z153" s="20"/>
      <c r="AA153" s="10"/>
      <c r="AB153" s="10"/>
      <c r="AC153" s="15" t="str">
        <f t="shared" si="7"/>
        <v/>
      </c>
      <c r="AD153" s="15" t="str">
        <f t="shared" si="1"/>
        <v/>
      </c>
      <c r="AE153" s="16" t="str">
        <f t="shared" si="11"/>
        <v/>
      </c>
      <c r="AF153" s="16" t="str">
        <f>IF($E153="","",IF($H153="pdf",IFERROR(IF($X153&gt;=Weights!$B$10,1,0),0),1))</f>
        <v/>
      </c>
      <c r="AG153" s="16" t="str">
        <f t="shared" si="12"/>
        <v/>
      </c>
      <c r="AH153" s="15" t="str">
        <f>IF($E153="","",IFERROR((Weights!$B$2*$O153 + Weights!$B$3*$AE153 + Weights!$B$4*$AD153 + Weights!$B$5*(1-$AC153) + Weights!$B$6*$AF153 + Weights!$B$7*$AG153)/SUM(Weights!$B$2:$B$7),"" ))</f>
        <v/>
      </c>
      <c r="AI153" s="15" t="str">
        <f>IF($E153="","",IF($O153=0,0,IFERROR($AH153/MAX(Weights!$B$8,$Y153)/MAX(Weights!$B$9,IF($Z153="",0,$Z153)), "")))</f>
        <v/>
      </c>
      <c r="AJ153" s="17"/>
    </row>
    <row r="154" ht="15.75" customHeight="1">
      <c r="A154" s="10"/>
      <c r="B154" s="39"/>
      <c r="C154" s="10"/>
      <c r="D154" s="10"/>
      <c r="E154" s="10"/>
      <c r="F154" s="10" t="str">
        <f>IF($E154="","",VLOOKUP($E154,Benchmark_URLs!$A$2:$L$46,4,FALSE))</f>
        <v/>
      </c>
      <c r="G154" s="10"/>
      <c r="H154" s="10" t="str">
        <f>IF($E154="","",VLOOKUP($E154,Benchmark_URLs!$A$2:$L$46,6,FALSE))</f>
        <v/>
      </c>
      <c r="I154" s="10" t="str">
        <f>IF($E154="","",VLOOKUP($E154,Benchmark_URLs!$A$2:$L$46,7,FALSE))</f>
        <v/>
      </c>
      <c r="J154" s="10" t="str">
        <f>IF($E154="","",VLOOKUP($E154,Benchmark_URLs!$A$2:$L$46,8,FALSE))</f>
        <v/>
      </c>
      <c r="K154" s="10" t="str">
        <f>IF($E154="","",VLOOKUP($E154,Benchmark_URLs!$A$2:$L$46,9,FALSE))</f>
        <v/>
      </c>
      <c r="L154" s="10" t="str">
        <f>IF($E154="","",VLOOKUP($E154,Benchmark_URLs!$A$2:$L$46,10,FALSE))</f>
        <v/>
      </c>
      <c r="M154" s="10" t="str">
        <f>IF($E154="","",VLOOKUP($E154,Benchmark_URLs!$A$2:$L$46,11,FALSE))</f>
        <v/>
      </c>
      <c r="N154" s="16"/>
      <c r="O154" s="16"/>
      <c r="P154" s="16"/>
      <c r="Q154" s="19"/>
      <c r="R154" s="19"/>
      <c r="S154" s="19"/>
      <c r="T154" s="16"/>
      <c r="U154" s="16"/>
      <c r="V154" s="16"/>
      <c r="W154" s="19"/>
      <c r="X154" s="19"/>
      <c r="Y154" s="20"/>
      <c r="Z154" s="20"/>
      <c r="AA154" s="10"/>
      <c r="AB154" s="10"/>
      <c r="AC154" s="15" t="str">
        <f t="shared" si="7"/>
        <v/>
      </c>
      <c r="AD154" s="15" t="str">
        <f t="shared" si="1"/>
        <v/>
      </c>
      <c r="AE154" s="16" t="str">
        <f t="shared" si="11"/>
        <v/>
      </c>
      <c r="AF154" s="16" t="str">
        <f>IF($E154="","",IF($H154="pdf",IFERROR(IF($X154&gt;=Weights!$B$10,1,0),0),1))</f>
        <v/>
      </c>
      <c r="AG154" s="16" t="str">
        <f t="shared" si="12"/>
        <v/>
      </c>
      <c r="AH154" s="15" t="str">
        <f>IF($E154="","",IFERROR((Weights!$B$2*$O154 + Weights!$B$3*$AE154 + Weights!$B$4*$AD154 + Weights!$B$5*(1-$AC154) + Weights!$B$6*$AF154 + Weights!$B$7*$AG154)/SUM(Weights!$B$2:$B$7),"" ))</f>
        <v/>
      </c>
      <c r="AI154" s="15" t="str">
        <f>IF($E154="","",IF($O154=0,0,IFERROR($AH154/MAX(Weights!$B$8,$Y154)/MAX(Weights!$B$9,IF($Z154="",0,$Z154)), "")))</f>
        <v/>
      </c>
      <c r="AJ154" s="17"/>
    </row>
    <row r="155" ht="15.75" customHeight="1">
      <c r="A155" s="10"/>
      <c r="B155" s="39"/>
      <c r="C155" s="10"/>
      <c r="D155" s="10"/>
      <c r="E155" s="10"/>
      <c r="F155" s="10" t="str">
        <f>IF($E155="","",VLOOKUP($E155,Benchmark_URLs!$A$2:$L$46,4,FALSE))</f>
        <v/>
      </c>
      <c r="G155" s="10"/>
      <c r="H155" s="10" t="str">
        <f>IF($E155="","",VLOOKUP($E155,Benchmark_URLs!$A$2:$L$46,6,FALSE))</f>
        <v/>
      </c>
      <c r="I155" s="10" t="str">
        <f>IF($E155="","",VLOOKUP($E155,Benchmark_URLs!$A$2:$L$46,7,FALSE))</f>
        <v/>
      </c>
      <c r="J155" s="10" t="str">
        <f>IF($E155="","",VLOOKUP($E155,Benchmark_URLs!$A$2:$L$46,8,FALSE))</f>
        <v/>
      </c>
      <c r="K155" s="10" t="str">
        <f>IF($E155="","",VLOOKUP($E155,Benchmark_URLs!$A$2:$L$46,9,FALSE))</f>
        <v/>
      </c>
      <c r="L155" s="10" t="str">
        <f>IF($E155="","",VLOOKUP($E155,Benchmark_URLs!$A$2:$L$46,10,FALSE))</f>
        <v/>
      </c>
      <c r="M155" s="10" t="str">
        <f>IF($E155="","",VLOOKUP($E155,Benchmark_URLs!$A$2:$L$46,11,FALSE))</f>
        <v/>
      </c>
      <c r="N155" s="16"/>
      <c r="O155" s="16"/>
      <c r="P155" s="16"/>
      <c r="Q155" s="19"/>
      <c r="R155" s="19"/>
      <c r="S155" s="19"/>
      <c r="T155" s="16"/>
      <c r="U155" s="16"/>
      <c r="V155" s="16"/>
      <c r="W155" s="19"/>
      <c r="X155" s="19"/>
      <c r="Y155" s="20"/>
      <c r="Z155" s="20"/>
      <c r="AA155" s="10"/>
      <c r="AB155" s="10"/>
      <c r="AC155" s="15" t="str">
        <f t="shared" si="7"/>
        <v/>
      </c>
      <c r="AD155" s="15" t="str">
        <f t="shared" si="1"/>
        <v/>
      </c>
      <c r="AE155" s="16" t="str">
        <f t="shared" si="11"/>
        <v/>
      </c>
      <c r="AF155" s="16" t="str">
        <f>IF($E155="","",IF($H155="pdf",IFERROR(IF($X155&gt;=Weights!$B$10,1,0),0),1))</f>
        <v/>
      </c>
      <c r="AG155" s="16" t="str">
        <f t="shared" si="12"/>
        <v/>
      </c>
      <c r="AH155" s="15" t="str">
        <f>IF($E155="","",IFERROR((Weights!$B$2*$O155 + Weights!$B$3*$AE155 + Weights!$B$4*$AD155 + Weights!$B$5*(1-$AC155) + Weights!$B$6*$AF155 + Weights!$B$7*$AG155)/SUM(Weights!$B$2:$B$7),"" ))</f>
        <v/>
      </c>
      <c r="AI155" s="15" t="str">
        <f>IF($E155="","",IF($O155=0,0,IFERROR($AH155/MAX(Weights!$B$8,$Y155)/MAX(Weights!$B$9,IF($Z155="",0,$Z155)), "")))</f>
        <v/>
      </c>
      <c r="AJ155" s="17"/>
    </row>
    <row r="156" ht="15.75" customHeight="1">
      <c r="A156" s="10"/>
      <c r="B156" s="39"/>
      <c r="C156" s="10"/>
      <c r="D156" s="10"/>
      <c r="E156" s="10"/>
      <c r="F156" s="10" t="str">
        <f>IF($E156="","",VLOOKUP($E156,Benchmark_URLs!$A$2:$L$46,4,FALSE))</f>
        <v/>
      </c>
      <c r="G156" s="10"/>
      <c r="H156" s="10" t="str">
        <f>IF($E156="","",VLOOKUP($E156,Benchmark_URLs!$A$2:$L$46,6,FALSE))</f>
        <v/>
      </c>
      <c r="I156" s="10" t="str">
        <f>IF($E156="","",VLOOKUP($E156,Benchmark_URLs!$A$2:$L$46,7,FALSE))</f>
        <v/>
      </c>
      <c r="J156" s="10" t="str">
        <f>IF($E156="","",VLOOKUP($E156,Benchmark_URLs!$A$2:$L$46,8,FALSE))</f>
        <v/>
      </c>
      <c r="K156" s="10" t="str">
        <f>IF($E156="","",VLOOKUP($E156,Benchmark_URLs!$A$2:$L$46,9,FALSE))</f>
        <v/>
      </c>
      <c r="L156" s="10" t="str">
        <f>IF($E156="","",VLOOKUP($E156,Benchmark_URLs!$A$2:$L$46,10,FALSE))</f>
        <v/>
      </c>
      <c r="M156" s="10" t="str">
        <f>IF($E156="","",VLOOKUP($E156,Benchmark_URLs!$A$2:$L$46,11,FALSE))</f>
        <v/>
      </c>
      <c r="N156" s="16"/>
      <c r="O156" s="16"/>
      <c r="P156" s="16"/>
      <c r="Q156" s="19"/>
      <c r="R156" s="19"/>
      <c r="S156" s="19"/>
      <c r="T156" s="16"/>
      <c r="U156" s="16"/>
      <c r="V156" s="16"/>
      <c r="W156" s="19"/>
      <c r="X156" s="19"/>
      <c r="Y156" s="20"/>
      <c r="Z156" s="20"/>
      <c r="AA156" s="10"/>
      <c r="AB156" s="10"/>
      <c r="AC156" s="15" t="str">
        <f t="shared" si="7"/>
        <v/>
      </c>
      <c r="AD156" s="15" t="str">
        <f t="shared" si="1"/>
        <v/>
      </c>
      <c r="AE156" s="16" t="str">
        <f t="shared" si="11"/>
        <v/>
      </c>
      <c r="AF156" s="16" t="str">
        <f>IF($E156="","",IF($H156="pdf",IFERROR(IF($X156&gt;=Weights!$B$10,1,0),0),1))</f>
        <v/>
      </c>
      <c r="AG156" s="16" t="str">
        <f t="shared" si="12"/>
        <v/>
      </c>
      <c r="AH156" s="15" t="str">
        <f>IF($E156="","",IFERROR((Weights!$B$2*$O156 + Weights!$B$3*$AE156 + Weights!$B$4*$AD156 + Weights!$B$5*(1-$AC156) + Weights!$B$6*$AF156 + Weights!$B$7*$AG156)/SUM(Weights!$B$2:$B$7),"" ))</f>
        <v/>
      </c>
      <c r="AI156" s="15" t="str">
        <f>IF($E156="","",IF($O156=0,0,IFERROR($AH156/MAX(Weights!$B$8,$Y156)/MAX(Weights!$B$9,IF($Z156="",0,$Z156)), "")))</f>
        <v/>
      </c>
      <c r="AJ156" s="17"/>
    </row>
    <row r="157" ht="15.75" customHeight="1">
      <c r="A157" s="10"/>
      <c r="B157" s="39"/>
      <c r="C157" s="10"/>
      <c r="D157" s="10"/>
      <c r="E157" s="10"/>
      <c r="F157" s="10" t="str">
        <f>IF($E157="","",VLOOKUP($E157,Benchmark_URLs!$A$2:$L$46,4,FALSE))</f>
        <v/>
      </c>
      <c r="G157" s="10"/>
      <c r="H157" s="10" t="str">
        <f>IF($E157="","",VLOOKUP($E157,Benchmark_URLs!$A$2:$L$46,6,FALSE))</f>
        <v/>
      </c>
      <c r="I157" s="10" t="str">
        <f>IF($E157="","",VLOOKUP($E157,Benchmark_URLs!$A$2:$L$46,7,FALSE))</f>
        <v/>
      </c>
      <c r="J157" s="10" t="str">
        <f>IF($E157="","",VLOOKUP($E157,Benchmark_URLs!$A$2:$L$46,8,FALSE))</f>
        <v/>
      </c>
      <c r="K157" s="10" t="str">
        <f>IF($E157="","",VLOOKUP($E157,Benchmark_URLs!$A$2:$L$46,9,FALSE))</f>
        <v/>
      </c>
      <c r="L157" s="10" t="str">
        <f>IF($E157="","",VLOOKUP($E157,Benchmark_URLs!$A$2:$L$46,10,FALSE))</f>
        <v/>
      </c>
      <c r="M157" s="10" t="str">
        <f>IF($E157="","",VLOOKUP($E157,Benchmark_URLs!$A$2:$L$46,11,FALSE))</f>
        <v/>
      </c>
      <c r="N157" s="16"/>
      <c r="O157" s="16"/>
      <c r="P157" s="16"/>
      <c r="Q157" s="19"/>
      <c r="R157" s="19"/>
      <c r="S157" s="19"/>
      <c r="T157" s="16"/>
      <c r="U157" s="16"/>
      <c r="V157" s="16"/>
      <c r="W157" s="19"/>
      <c r="X157" s="19"/>
      <c r="Y157" s="20"/>
      <c r="Z157" s="20"/>
      <c r="AA157" s="10"/>
      <c r="AB157" s="10"/>
      <c r="AC157" s="15" t="str">
        <f t="shared" si="7"/>
        <v/>
      </c>
      <c r="AD157" s="15" t="str">
        <f t="shared" si="1"/>
        <v/>
      </c>
      <c r="AE157" s="16" t="str">
        <f t="shared" si="11"/>
        <v/>
      </c>
      <c r="AF157" s="16" t="str">
        <f>IF($E157="","",IF($H157="pdf",IFERROR(IF($X157&gt;=Weights!$B$10,1,0),0),1))</f>
        <v/>
      </c>
      <c r="AG157" s="16" t="str">
        <f t="shared" si="12"/>
        <v/>
      </c>
      <c r="AH157" s="15" t="str">
        <f>IF($E157="","",IFERROR((Weights!$B$2*$O157 + Weights!$B$3*$AE157 + Weights!$B$4*$AD157 + Weights!$B$5*(1-$AC157) + Weights!$B$6*$AF157 + Weights!$B$7*$AG157)/SUM(Weights!$B$2:$B$7),"" ))</f>
        <v/>
      </c>
      <c r="AI157" s="15" t="str">
        <f>IF($E157="","",IF($O157=0,0,IFERROR($AH157/MAX(Weights!$B$8,$Y157)/MAX(Weights!$B$9,IF($Z157="",0,$Z157)), "")))</f>
        <v/>
      </c>
      <c r="AJ157" s="17"/>
    </row>
    <row r="158" ht="15.75" customHeight="1">
      <c r="A158" s="10"/>
      <c r="B158" s="39"/>
      <c r="C158" s="10"/>
      <c r="D158" s="10"/>
      <c r="E158" s="10"/>
      <c r="F158" s="10" t="str">
        <f>IF($E158="","",VLOOKUP($E158,Benchmark_URLs!$A$2:$L$46,4,FALSE))</f>
        <v/>
      </c>
      <c r="G158" s="10"/>
      <c r="H158" s="10" t="str">
        <f>IF($E158="","",VLOOKUP($E158,Benchmark_URLs!$A$2:$L$46,6,FALSE))</f>
        <v/>
      </c>
      <c r="I158" s="10" t="str">
        <f>IF($E158="","",VLOOKUP($E158,Benchmark_URLs!$A$2:$L$46,7,FALSE))</f>
        <v/>
      </c>
      <c r="J158" s="10" t="str">
        <f>IF($E158="","",VLOOKUP($E158,Benchmark_URLs!$A$2:$L$46,8,FALSE))</f>
        <v/>
      </c>
      <c r="K158" s="10" t="str">
        <f>IF($E158="","",VLOOKUP($E158,Benchmark_URLs!$A$2:$L$46,9,FALSE))</f>
        <v/>
      </c>
      <c r="L158" s="10" t="str">
        <f>IF($E158="","",VLOOKUP($E158,Benchmark_URLs!$A$2:$L$46,10,FALSE))</f>
        <v/>
      </c>
      <c r="M158" s="10" t="str">
        <f>IF($E158="","",VLOOKUP($E158,Benchmark_URLs!$A$2:$L$46,11,FALSE))</f>
        <v/>
      </c>
      <c r="N158" s="16"/>
      <c r="O158" s="16"/>
      <c r="P158" s="16"/>
      <c r="Q158" s="19"/>
      <c r="R158" s="19"/>
      <c r="S158" s="19"/>
      <c r="T158" s="16"/>
      <c r="U158" s="16"/>
      <c r="V158" s="16"/>
      <c r="W158" s="19"/>
      <c r="X158" s="19"/>
      <c r="Y158" s="20"/>
      <c r="Z158" s="20"/>
      <c r="AA158" s="10"/>
      <c r="AB158" s="10"/>
      <c r="AC158" s="15" t="str">
        <f t="shared" si="7"/>
        <v/>
      </c>
      <c r="AD158" s="15" t="str">
        <f t="shared" si="1"/>
        <v/>
      </c>
      <c r="AE158" s="16" t="str">
        <f t="shared" si="11"/>
        <v/>
      </c>
      <c r="AF158" s="16" t="str">
        <f>IF($E158="","",IF($H158="pdf",IFERROR(IF($X158&gt;=Weights!$B$10,1,0),0),1))</f>
        <v/>
      </c>
      <c r="AG158" s="16" t="str">
        <f t="shared" si="12"/>
        <v/>
      </c>
      <c r="AH158" s="15" t="str">
        <f>IF($E158="","",IFERROR((Weights!$B$2*$O158 + Weights!$B$3*$AE158 + Weights!$B$4*$AD158 + Weights!$B$5*(1-$AC158) + Weights!$B$6*$AF158 + Weights!$B$7*$AG158)/SUM(Weights!$B$2:$B$7),"" ))</f>
        <v/>
      </c>
      <c r="AI158" s="15" t="str">
        <f>IF($E158="","",IF($O158=0,0,IFERROR($AH158/MAX(Weights!$B$8,$Y158)/MAX(Weights!$B$9,IF($Z158="",0,$Z158)), "")))</f>
        <v/>
      </c>
      <c r="AJ158" s="17"/>
    </row>
    <row r="159" ht="15.75" customHeight="1">
      <c r="A159" s="10"/>
      <c r="B159" s="39"/>
      <c r="C159" s="10"/>
      <c r="D159" s="10"/>
      <c r="E159" s="10"/>
      <c r="F159" s="10" t="str">
        <f>IF($E159="","",VLOOKUP($E159,Benchmark_URLs!$A$2:$L$46,4,FALSE))</f>
        <v/>
      </c>
      <c r="G159" s="10"/>
      <c r="H159" s="10" t="str">
        <f>IF($E159="","",VLOOKUP($E159,Benchmark_URLs!$A$2:$L$46,6,FALSE))</f>
        <v/>
      </c>
      <c r="I159" s="10" t="str">
        <f>IF($E159="","",VLOOKUP($E159,Benchmark_URLs!$A$2:$L$46,7,FALSE))</f>
        <v/>
      </c>
      <c r="J159" s="10" t="str">
        <f>IF($E159="","",VLOOKUP($E159,Benchmark_URLs!$A$2:$L$46,8,FALSE))</f>
        <v/>
      </c>
      <c r="K159" s="10" t="str">
        <f>IF($E159="","",VLOOKUP($E159,Benchmark_URLs!$A$2:$L$46,9,FALSE))</f>
        <v/>
      </c>
      <c r="L159" s="10" t="str">
        <f>IF($E159="","",VLOOKUP($E159,Benchmark_URLs!$A$2:$L$46,10,FALSE))</f>
        <v/>
      </c>
      <c r="M159" s="10" t="str">
        <f>IF($E159="","",VLOOKUP($E159,Benchmark_URLs!$A$2:$L$46,11,FALSE))</f>
        <v/>
      </c>
      <c r="N159" s="16"/>
      <c r="O159" s="16"/>
      <c r="P159" s="16"/>
      <c r="Q159" s="19"/>
      <c r="R159" s="19"/>
      <c r="S159" s="19"/>
      <c r="T159" s="16"/>
      <c r="U159" s="16"/>
      <c r="V159" s="16"/>
      <c r="W159" s="19"/>
      <c r="X159" s="19"/>
      <c r="Y159" s="20"/>
      <c r="Z159" s="20"/>
      <c r="AA159" s="10"/>
      <c r="AB159" s="10"/>
      <c r="AC159" s="15" t="str">
        <f t="shared" si="7"/>
        <v/>
      </c>
      <c r="AD159" s="15" t="str">
        <f t="shared" si="1"/>
        <v/>
      </c>
      <c r="AE159" s="16" t="str">
        <f t="shared" si="11"/>
        <v/>
      </c>
      <c r="AF159" s="16" t="str">
        <f>IF($E159="","",IF($H159="pdf",IFERROR(IF($X159&gt;=Weights!$B$10,1,0),0),1))</f>
        <v/>
      </c>
      <c r="AG159" s="16" t="str">
        <f t="shared" si="12"/>
        <v/>
      </c>
      <c r="AH159" s="15" t="str">
        <f>IF($E159="","",IFERROR((Weights!$B$2*$O159 + Weights!$B$3*$AE159 + Weights!$B$4*$AD159 + Weights!$B$5*(1-$AC159) + Weights!$B$6*$AF159 + Weights!$B$7*$AG159)/SUM(Weights!$B$2:$B$7),"" ))</f>
        <v/>
      </c>
      <c r="AI159" s="15" t="str">
        <f>IF($E159="","",IF($O159=0,0,IFERROR($AH159/MAX(Weights!$B$8,$Y159)/MAX(Weights!$B$9,IF($Z159="",0,$Z159)), "")))</f>
        <v/>
      </c>
      <c r="AJ159" s="17"/>
    </row>
    <row r="160" ht="15.75" customHeight="1">
      <c r="A160" s="10"/>
      <c r="B160" s="39"/>
      <c r="C160" s="10"/>
      <c r="D160" s="10"/>
      <c r="E160" s="10"/>
      <c r="F160" s="10" t="str">
        <f>IF($E160="","",VLOOKUP($E160,Benchmark_URLs!$A$2:$L$46,4,FALSE))</f>
        <v/>
      </c>
      <c r="G160" s="10"/>
      <c r="H160" s="10" t="str">
        <f>IF($E160="","",VLOOKUP($E160,Benchmark_URLs!$A$2:$L$46,6,FALSE))</f>
        <v/>
      </c>
      <c r="I160" s="10" t="str">
        <f>IF($E160="","",VLOOKUP($E160,Benchmark_URLs!$A$2:$L$46,7,FALSE))</f>
        <v/>
      </c>
      <c r="J160" s="10" t="str">
        <f>IF($E160="","",VLOOKUP($E160,Benchmark_URLs!$A$2:$L$46,8,FALSE))</f>
        <v/>
      </c>
      <c r="K160" s="10" t="str">
        <f>IF($E160="","",VLOOKUP($E160,Benchmark_URLs!$A$2:$L$46,9,FALSE))</f>
        <v/>
      </c>
      <c r="L160" s="10" t="str">
        <f>IF($E160="","",VLOOKUP($E160,Benchmark_URLs!$A$2:$L$46,10,FALSE))</f>
        <v/>
      </c>
      <c r="M160" s="10" t="str">
        <f>IF($E160="","",VLOOKUP($E160,Benchmark_URLs!$A$2:$L$46,11,FALSE))</f>
        <v/>
      </c>
      <c r="N160" s="16"/>
      <c r="O160" s="16"/>
      <c r="P160" s="16"/>
      <c r="Q160" s="19"/>
      <c r="R160" s="19"/>
      <c r="S160" s="19"/>
      <c r="T160" s="16"/>
      <c r="U160" s="16"/>
      <c r="V160" s="16"/>
      <c r="W160" s="19"/>
      <c r="X160" s="19"/>
      <c r="Y160" s="20"/>
      <c r="Z160" s="20"/>
      <c r="AA160" s="10"/>
      <c r="AB160" s="10"/>
      <c r="AC160" s="15" t="str">
        <f t="shared" si="7"/>
        <v/>
      </c>
      <c r="AD160" s="15" t="str">
        <f t="shared" si="1"/>
        <v/>
      </c>
      <c r="AE160" s="16" t="str">
        <f t="shared" si="11"/>
        <v/>
      </c>
      <c r="AF160" s="16" t="str">
        <f>IF($E160="","",IF($H160="pdf",IFERROR(IF($X160&gt;=Weights!$B$10,1,0),0),1))</f>
        <v/>
      </c>
      <c r="AG160" s="16" t="str">
        <f t="shared" si="12"/>
        <v/>
      </c>
      <c r="AH160" s="15" t="str">
        <f>IF($E160="","",IFERROR((Weights!$B$2*$O160 + Weights!$B$3*$AE160 + Weights!$B$4*$AD160 + Weights!$B$5*(1-$AC160) + Weights!$B$6*$AF160 + Weights!$B$7*$AG160)/SUM(Weights!$B$2:$B$7),"" ))</f>
        <v/>
      </c>
      <c r="AI160" s="15" t="str">
        <f>IF($E160="","",IF($O160=0,0,IFERROR($AH160/MAX(Weights!$B$8,$Y160)/MAX(Weights!$B$9,IF($Z160="",0,$Z160)), "")))</f>
        <v/>
      </c>
      <c r="AJ160" s="17"/>
    </row>
    <row r="161" ht="15.75" customHeight="1">
      <c r="A161" s="10"/>
      <c r="B161" s="39"/>
      <c r="C161" s="10"/>
      <c r="D161" s="10"/>
      <c r="E161" s="10"/>
      <c r="F161" s="10" t="str">
        <f>IF($E161="","",VLOOKUP($E161,Benchmark_URLs!$A$2:$L$46,4,FALSE))</f>
        <v/>
      </c>
      <c r="G161" s="10"/>
      <c r="H161" s="10" t="str">
        <f>IF($E161="","",VLOOKUP($E161,Benchmark_URLs!$A$2:$L$46,6,FALSE))</f>
        <v/>
      </c>
      <c r="I161" s="10" t="str">
        <f>IF($E161="","",VLOOKUP($E161,Benchmark_URLs!$A$2:$L$46,7,FALSE))</f>
        <v/>
      </c>
      <c r="J161" s="10" t="str">
        <f>IF($E161="","",VLOOKUP($E161,Benchmark_URLs!$A$2:$L$46,8,FALSE))</f>
        <v/>
      </c>
      <c r="K161" s="10" t="str">
        <f>IF($E161="","",VLOOKUP($E161,Benchmark_URLs!$A$2:$L$46,9,FALSE))</f>
        <v/>
      </c>
      <c r="L161" s="10" t="str">
        <f>IF($E161="","",VLOOKUP($E161,Benchmark_URLs!$A$2:$L$46,10,FALSE))</f>
        <v/>
      </c>
      <c r="M161" s="10" t="str">
        <f>IF($E161="","",VLOOKUP($E161,Benchmark_URLs!$A$2:$L$46,11,FALSE))</f>
        <v/>
      </c>
      <c r="N161" s="16"/>
      <c r="O161" s="16"/>
      <c r="P161" s="16"/>
      <c r="Q161" s="19"/>
      <c r="R161" s="19"/>
      <c r="S161" s="19"/>
      <c r="T161" s="16"/>
      <c r="U161" s="16"/>
      <c r="V161" s="16"/>
      <c r="W161" s="19"/>
      <c r="X161" s="19"/>
      <c r="Y161" s="20"/>
      <c r="Z161" s="20"/>
      <c r="AA161" s="10"/>
      <c r="AB161" s="10"/>
      <c r="AC161" s="15" t="str">
        <f t="shared" si="7"/>
        <v/>
      </c>
      <c r="AD161" s="15" t="str">
        <f t="shared" si="1"/>
        <v/>
      </c>
      <c r="AE161" s="16" t="str">
        <f t="shared" si="11"/>
        <v/>
      </c>
      <c r="AF161" s="16" t="str">
        <f>IF($E161="","",IF($H161="pdf",IFERROR(IF($X161&gt;=Weights!$B$10,1,0),0),1))</f>
        <v/>
      </c>
      <c r="AG161" s="16" t="str">
        <f t="shared" si="12"/>
        <v/>
      </c>
      <c r="AH161" s="15" t="str">
        <f>IF($E161="","",IFERROR((Weights!$B$2*$O161 + Weights!$B$3*$AE161 + Weights!$B$4*$AD161 + Weights!$B$5*(1-$AC161) + Weights!$B$6*$AF161 + Weights!$B$7*$AG161)/SUM(Weights!$B$2:$B$7),"" ))</f>
        <v/>
      </c>
      <c r="AI161" s="15" t="str">
        <f>IF($E161="","",IF($O161=0,0,IFERROR($AH161/MAX(Weights!$B$8,$Y161)/MAX(Weights!$B$9,IF($Z161="",0,$Z161)), "")))</f>
        <v/>
      </c>
      <c r="AJ161" s="17"/>
    </row>
    <row r="162" ht="15.75" customHeight="1">
      <c r="A162" s="10"/>
      <c r="B162" s="39"/>
      <c r="C162" s="10"/>
      <c r="D162" s="10"/>
      <c r="E162" s="10"/>
      <c r="F162" s="10" t="str">
        <f>IF($E162="","",VLOOKUP($E162,Benchmark_URLs!$A$2:$L$46,4,FALSE))</f>
        <v/>
      </c>
      <c r="G162" s="10"/>
      <c r="H162" s="10" t="str">
        <f>IF($E162="","",VLOOKUP($E162,Benchmark_URLs!$A$2:$L$46,6,FALSE))</f>
        <v/>
      </c>
      <c r="I162" s="10" t="str">
        <f>IF($E162="","",VLOOKUP($E162,Benchmark_URLs!$A$2:$L$46,7,FALSE))</f>
        <v/>
      </c>
      <c r="J162" s="10" t="str">
        <f>IF($E162="","",VLOOKUP($E162,Benchmark_URLs!$A$2:$L$46,8,FALSE))</f>
        <v/>
      </c>
      <c r="K162" s="10" t="str">
        <f>IF($E162="","",VLOOKUP($E162,Benchmark_URLs!$A$2:$L$46,9,FALSE))</f>
        <v/>
      </c>
      <c r="L162" s="10" t="str">
        <f>IF($E162="","",VLOOKUP($E162,Benchmark_URLs!$A$2:$L$46,10,FALSE))</f>
        <v/>
      </c>
      <c r="M162" s="10" t="str">
        <f>IF($E162="","",VLOOKUP($E162,Benchmark_URLs!$A$2:$L$46,11,FALSE))</f>
        <v/>
      </c>
      <c r="N162" s="16"/>
      <c r="O162" s="16"/>
      <c r="P162" s="16"/>
      <c r="Q162" s="19"/>
      <c r="R162" s="19"/>
      <c r="S162" s="19"/>
      <c r="T162" s="16"/>
      <c r="U162" s="16"/>
      <c r="V162" s="16"/>
      <c r="W162" s="19"/>
      <c r="X162" s="19"/>
      <c r="Y162" s="20"/>
      <c r="Z162" s="20"/>
      <c r="AA162" s="10"/>
      <c r="AB162" s="10"/>
      <c r="AC162" s="15" t="str">
        <f t="shared" si="7"/>
        <v/>
      </c>
      <c r="AD162" s="15" t="str">
        <f t="shared" si="1"/>
        <v/>
      </c>
      <c r="AE162" s="16" t="str">
        <f t="shared" si="11"/>
        <v/>
      </c>
      <c r="AF162" s="16" t="str">
        <f>IF($E162="","",IF($H162="pdf",IFERROR(IF($X162&gt;=Weights!$B$10,1,0),0),1))</f>
        <v/>
      </c>
      <c r="AG162" s="16" t="str">
        <f t="shared" si="12"/>
        <v/>
      </c>
      <c r="AH162" s="15" t="str">
        <f>IF($E162="","",IFERROR((Weights!$B$2*$O162 + Weights!$B$3*$AE162 + Weights!$B$4*$AD162 + Weights!$B$5*(1-$AC162) + Weights!$B$6*$AF162 + Weights!$B$7*$AG162)/SUM(Weights!$B$2:$B$7),"" ))</f>
        <v/>
      </c>
      <c r="AI162" s="15" t="str">
        <f>IF($E162="","",IF($O162=0,0,IFERROR($AH162/MAX(Weights!$B$8,$Y162)/MAX(Weights!$B$9,IF($Z162="",0,$Z162)), "")))</f>
        <v/>
      </c>
      <c r="AJ162" s="17"/>
    </row>
    <row r="163" ht="15.75" customHeight="1">
      <c r="A163" s="10"/>
      <c r="B163" s="39"/>
      <c r="C163" s="10"/>
      <c r="D163" s="10"/>
      <c r="E163" s="10"/>
      <c r="F163" s="10" t="str">
        <f>IF($E163="","",VLOOKUP($E163,Benchmark_URLs!$A$2:$L$46,4,FALSE))</f>
        <v/>
      </c>
      <c r="G163" s="10"/>
      <c r="H163" s="10" t="str">
        <f>IF($E163="","",VLOOKUP($E163,Benchmark_URLs!$A$2:$L$46,6,FALSE))</f>
        <v/>
      </c>
      <c r="I163" s="10" t="str">
        <f>IF($E163="","",VLOOKUP($E163,Benchmark_URLs!$A$2:$L$46,7,FALSE))</f>
        <v/>
      </c>
      <c r="J163" s="10" t="str">
        <f>IF($E163="","",VLOOKUP($E163,Benchmark_URLs!$A$2:$L$46,8,FALSE))</f>
        <v/>
      </c>
      <c r="K163" s="10" t="str">
        <f>IF($E163="","",VLOOKUP($E163,Benchmark_URLs!$A$2:$L$46,9,FALSE))</f>
        <v/>
      </c>
      <c r="L163" s="10" t="str">
        <f>IF($E163="","",VLOOKUP($E163,Benchmark_URLs!$A$2:$L$46,10,FALSE))</f>
        <v/>
      </c>
      <c r="M163" s="10" t="str">
        <f>IF($E163="","",VLOOKUP($E163,Benchmark_URLs!$A$2:$L$46,11,FALSE))</f>
        <v/>
      </c>
      <c r="N163" s="16"/>
      <c r="O163" s="16"/>
      <c r="P163" s="16"/>
      <c r="Q163" s="19"/>
      <c r="R163" s="19"/>
      <c r="S163" s="19"/>
      <c r="T163" s="16"/>
      <c r="U163" s="16"/>
      <c r="V163" s="16"/>
      <c r="W163" s="19"/>
      <c r="X163" s="19"/>
      <c r="Y163" s="20"/>
      <c r="Z163" s="20"/>
      <c r="AA163" s="10"/>
      <c r="AB163" s="10"/>
      <c r="AC163" s="15" t="str">
        <f t="shared" si="7"/>
        <v/>
      </c>
      <c r="AD163" s="15" t="str">
        <f t="shared" si="1"/>
        <v/>
      </c>
      <c r="AE163" s="16" t="str">
        <f t="shared" si="11"/>
        <v/>
      </c>
      <c r="AF163" s="16" t="str">
        <f>IF($E163="","",IF($H163="pdf",IFERROR(IF($X163&gt;=Weights!$B$10,1,0),0),1))</f>
        <v/>
      </c>
      <c r="AG163" s="16" t="str">
        <f t="shared" si="12"/>
        <v/>
      </c>
      <c r="AH163" s="15" t="str">
        <f>IF($E163="","",IFERROR((Weights!$B$2*$O163 + Weights!$B$3*$AE163 + Weights!$B$4*$AD163 + Weights!$B$5*(1-$AC163) + Weights!$B$6*$AF163 + Weights!$B$7*$AG163)/SUM(Weights!$B$2:$B$7),"" ))</f>
        <v/>
      </c>
      <c r="AI163" s="15" t="str">
        <f>IF($E163="","",IF($O163=0,0,IFERROR($AH163/MAX(Weights!$B$8,$Y163)/MAX(Weights!$B$9,IF($Z163="",0,$Z163)), "")))</f>
        <v/>
      </c>
      <c r="AJ163" s="17"/>
    </row>
    <row r="164" ht="15.75" customHeight="1">
      <c r="A164" s="10"/>
      <c r="B164" s="39"/>
      <c r="C164" s="10"/>
      <c r="D164" s="10"/>
      <c r="E164" s="10"/>
      <c r="F164" s="10" t="str">
        <f>IF($E164="","",VLOOKUP($E164,Benchmark_URLs!$A$2:$L$46,4,FALSE))</f>
        <v/>
      </c>
      <c r="G164" s="10"/>
      <c r="H164" s="10" t="str">
        <f>IF($E164="","",VLOOKUP($E164,Benchmark_URLs!$A$2:$L$46,6,FALSE))</f>
        <v/>
      </c>
      <c r="I164" s="10" t="str">
        <f>IF($E164="","",VLOOKUP($E164,Benchmark_URLs!$A$2:$L$46,7,FALSE))</f>
        <v/>
      </c>
      <c r="J164" s="10" t="str">
        <f>IF($E164="","",VLOOKUP($E164,Benchmark_URLs!$A$2:$L$46,8,FALSE))</f>
        <v/>
      </c>
      <c r="K164" s="10" t="str">
        <f>IF($E164="","",VLOOKUP($E164,Benchmark_URLs!$A$2:$L$46,9,FALSE))</f>
        <v/>
      </c>
      <c r="L164" s="10" t="str">
        <f>IF($E164="","",VLOOKUP($E164,Benchmark_URLs!$A$2:$L$46,10,FALSE))</f>
        <v/>
      </c>
      <c r="M164" s="10" t="str">
        <f>IF($E164="","",VLOOKUP($E164,Benchmark_URLs!$A$2:$L$46,11,FALSE))</f>
        <v/>
      </c>
      <c r="N164" s="16"/>
      <c r="O164" s="16"/>
      <c r="P164" s="16"/>
      <c r="Q164" s="19"/>
      <c r="R164" s="19"/>
      <c r="S164" s="19"/>
      <c r="T164" s="16"/>
      <c r="U164" s="16"/>
      <c r="V164" s="16"/>
      <c r="W164" s="19"/>
      <c r="X164" s="19"/>
      <c r="Y164" s="20"/>
      <c r="Z164" s="20"/>
      <c r="AA164" s="10"/>
      <c r="AB164" s="10"/>
      <c r="AC164" s="15" t="str">
        <f t="shared" si="7"/>
        <v/>
      </c>
      <c r="AD164" s="15" t="str">
        <f t="shared" si="1"/>
        <v/>
      </c>
      <c r="AE164" s="16" t="str">
        <f t="shared" si="11"/>
        <v/>
      </c>
      <c r="AF164" s="16" t="str">
        <f>IF($E164="","",IF($H164="pdf",IFERROR(IF($X164&gt;=Weights!$B$10,1,0),0),1))</f>
        <v/>
      </c>
      <c r="AG164" s="16" t="str">
        <f t="shared" si="12"/>
        <v/>
      </c>
      <c r="AH164" s="15" t="str">
        <f>IF($E164="","",IFERROR((Weights!$B$2*$O164 + Weights!$B$3*$AE164 + Weights!$B$4*$AD164 + Weights!$B$5*(1-$AC164) + Weights!$B$6*$AF164 + Weights!$B$7*$AG164)/SUM(Weights!$B$2:$B$7),"" ))</f>
        <v/>
      </c>
      <c r="AI164" s="15" t="str">
        <f>IF($E164="","",IF($O164=0,0,IFERROR($AH164/MAX(Weights!$B$8,$Y164)/MAX(Weights!$B$9,IF($Z164="",0,$Z164)), "")))</f>
        <v/>
      </c>
      <c r="AJ164" s="17"/>
    </row>
    <row r="165" ht="15.75" customHeight="1">
      <c r="A165" s="10"/>
      <c r="B165" s="39"/>
      <c r="C165" s="10"/>
      <c r="D165" s="10"/>
      <c r="E165" s="10"/>
      <c r="F165" s="10" t="str">
        <f>IF($E165="","",VLOOKUP($E165,Benchmark_URLs!$A$2:$L$46,4,FALSE))</f>
        <v/>
      </c>
      <c r="G165" s="10"/>
      <c r="H165" s="10" t="str">
        <f>IF($E165="","",VLOOKUP($E165,Benchmark_URLs!$A$2:$L$46,6,FALSE))</f>
        <v/>
      </c>
      <c r="I165" s="10" t="str">
        <f>IF($E165="","",VLOOKUP($E165,Benchmark_URLs!$A$2:$L$46,7,FALSE))</f>
        <v/>
      </c>
      <c r="J165" s="10" t="str">
        <f>IF($E165="","",VLOOKUP($E165,Benchmark_URLs!$A$2:$L$46,8,FALSE))</f>
        <v/>
      </c>
      <c r="K165" s="10" t="str">
        <f>IF($E165="","",VLOOKUP($E165,Benchmark_URLs!$A$2:$L$46,9,FALSE))</f>
        <v/>
      </c>
      <c r="L165" s="10" t="str">
        <f>IF($E165="","",VLOOKUP($E165,Benchmark_URLs!$A$2:$L$46,10,FALSE))</f>
        <v/>
      </c>
      <c r="M165" s="10" t="str">
        <f>IF($E165="","",VLOOKUP($E165,Benchmark_URLs!$A$2:$L$46,11,FALSE))</f>
        <v/>
      </c>
      <c r="N165" s="16"/>
      <c r="O165" s="16"/>
      <c r="P165" s="16"/>
      <c r="Q165" s="19"/>
      <c r="R165" s="19"/>
      <c r="S165" s="19"/>
      <c r="T165" s="16"/>
      <c r="U165" s="16"/>
      <c r="V165" s="16"/>
      <c r="W165" s="19"/>
      <c r="X165" s="19"/>
      <c r="Y165" s="20"/>
      <c r="Z165" s="20"/>
      <c r="AA165" s="10"/>
      <c r="AB165" s="10"/>
      <c r="AC165" s="15" t="str">
        <f t="shared" si="7"/>
        <v/>
      </c>
      <c r="AD165" s="15" t="str">
        <f t="shared" si="1"/>
        <v/>
      </c>
      <c r="AE165" s="16" t="str">
        <f t="shared" si="11"/>
        <v/>
      </c>
      <c r="AF165" s="16" t="str">
        <f>IF($E165="","",IF($H165="pdf",IFERROR(IF($X165&gt;=Weights!$B$10,1,0),0),1))</f>
        <v/>
      </c>
      <c r="AG165" s="16" t="str">
        <f t="shared" si="12"/>
        <v/>
      </c>
      <c r="AH165" s="15" t="str">
        <f>IF($E165="","",IFERROR((Weights!$B$2*$O165 + Weights!$B$3*$AE165 + Weights!$B$4*$AD165 + Weights!$B$5*(1-$AC165) + Weights!$B$6*$AF165 + Weights!$B$7*$AG165)/SUM(Weights!$B$2:$B$7),"" ))</f>
        <v/>
      </c>
      <c r="AI165" s="15" t="str">
        <f>IF($E165="","",IF($O165=0,0,IFERROR($AH165/MAX(Weights!$B$8,$Y165)/MAX(Weights!$B$9,IF($Z165="",0,$Z165)), "")))</f>
        <v/>
      </c>
      <c r="AJ165" s="17"/>
    </row>
    <row r="166" ht="15.75" customHeight="1">
      <c r="A166" s="10"/>
      <c r="B166" s="39"/>
      <c r="C166" s="10"/>
      <c r="D166" s="10"/>
      <c r="E166" s="10"/>
      <c r="F166" s="10" t="str">
        <f>IF($E166="","",VLOOKUP($E166,Benchmark_URLs!$A$2:$L$46,4,FALSE))</f>
        <v/>
      </c>
      <c r="G166" s="10"/>
      <c r="H166" s="10" t="str">
        <f>IF($E166="","",VLOOKUP($E166,Benchmark_URLs!$A$2:$L$46,6,FALSE))</f>
        <v/>
      </c>
      <c r="I166" s="10" t="str">
        <f>IF($E166="","",VLOOKUP($E166,Benchmark_URLs!$A$2:$L$46,7,FALSE))</f>
        <v/>
      </c>
      <c r="J166" s="10" t="str">
        <f>IF($E166="","",VLOOKUP($E166,Benchmark_URLs!$A$2:$L$46,8,FALSE))</f>
        <v/>
      </c>
      <c r="K166" s="10" t="str">
        <f>IF($E166="","",VLOOKUP($E166,Benchmark_URLs!$A$2:$L$46,9,FALSE))</f>
        <v/>
      </c>
      <c r="L166" s="10" t="str">
        <f>IF($E166="","",VLOOKUP($E166,Benchmark_URLs!$A$2:$L$46,10,FALSE))</f>
        <v/>
      </c>
      <c r="M166" s="10" t="str">
        <f>IF($E166="","",VLOOKUP($E166,Benchmark_URLs!$A$2:$L$46,11,FALSE))</f>
        <v/>
      </c>
      <c r="N166" s="16"/>
      <c r="O166" s="16"/>
      <c r="P166" s="16"/>
      <c r="Q166" s="19"/>
      <c r="R166" s="19"/>
      <c r="S166" s="19"/>
      <c r="T166" s="16"/>
      <c r="U166" s="16"/>
      <c r="V166" s="16"/>
      <c r="W166" s="19"/>
      <c r="X166" s="19"/>
      <c r="Y166" s="20"/>
      <c r="Z166" s="20"/>
      <c r="AA166" s="10"/>
      <c r="AB166" s="10"/>
      <c r="AC166" s="15" t="str">
        <f t="shared" si="7"/>
        <v/>
      </c>
      <c r="AD166" s="15" t="str">
        <f t="shared" si="1"/>
        <v/>
      </c>
      <c r="AE166" s="16" t="str">
        <f t="shared" si="11"/>
        <v/>
      </c>
      <c r="AF166" s="16" t="str">
        <f>IF($E166="","",IF($H166="pdf",IFERROR(IF($X166&gt;=Weights!$B$10,1,0),0),1))</f>
        <v/>
      </c>
      <c r="AG166" s="16" t="str">
        <f t="shared" si="12"/>
        <v/>
      </c>
      <c r="AH166" s="15" t="str">
        <f>IF($E166="","",IFERROR((Weights!$B$2*$O166 + Weights!$B$3*$AE166 + Weights!$B$4*$AD166 + Weights!$B$5*(1-$AC166) + Weights!$B$6*$AF166 + Weights!$B$7*$AG166)/SUM(Weights!$B$2:$B$7),"" ))</f>
        <v/>
      </c>
      <c r="AI166" s="15" t="str">
        <f>IF($E166="","",IF($O166=0,0,IFERROR($AH166/MAX(Weights!$B$8,$Y166)/MAX(Weights!$B$9,IF($Z166="",0,$Z166)), "")))</f>
        <v/>
      </c>
      <c r="AJ166" s="17"/>
    </row>
    <row r="167" ht="15.75" customHeight="1">
      <c r="A167" s="10"/>
      <c r="B167" s="39"/>
      <c r="C167" s="10"/>
      <c r="D167" s="10"/>
      <c r="E167" s="10"/>
      <c r="F167" s="10" t="str">
        <f>IF($E167="","",VLOOKUP($E167,Benchmark_URLs!$A$2:$L$46,4,FALSE))</f>
        <v/>
      </c>
      <c r="G167" s="10"/>
      <c r="H167" s="10" t="str">
        <f>IF($E167="","",VLOOKUP($E167,Benchmark_URLs!$A$2:$L$46,6,FALSE))</f>
        <v/>
      </c>
      <c r="I167" s="10" t="str">
        <f>IF($E167="","",VLOOKUP($E167,Benchmark_URLs!$A$2:$L$46,7,FALSE))</f>
        <v/>
      </c>
      <c r="J167" s="10" t="str">
        <f>IF($E167="","",VLOOKUP($E167,Benchmark_URLs!$A$2:$L$46,8,FALSE))</f>
        <v/>
      </c>
      <c r="K167" s="10" t="str">
        <f>IF($E167="","",VLOOKUP($E167,Benchmark_URLs!$A$2:$L$46,9,FALSE))</f>
        <v/>
      </c>
      <c r="L167" s="10" t="str">
        <f>IF($E167="","",VLOOKUP($E167,Benchmark_URLs!$A$2:$L$46,10,FALSE))</f>
        <v/>
      </c>
      <c r="M167" s="10" t="str">
        <f>IF($E167="","",VLOOKUP($E167,Benchmark_URLs!$A$2:$L$46,11,FALSE))</f>
        <v/>
      </c>
      <c r="N167" s="16"/>
      <c r="O167" s="16"/>
      <c r="P167" s="16"/>
      <c r="Q167" s="19"/>
      <c r="R167" s="19"/>
      <c r="S167" s="19"/>
      <c r="T167" s="16"/>
      <c r="U167" s="16"/>
      <c r="V167" s="16"/>
      <c r="W167" s="19"/>
      <c r="X167" s="19"/>
      <c r="Y167" s="20"/>
      <c r="Z167" s="20"/>
      <c r="AA167" s="10"/>
      <c r="AB167" s="10"/>
      <c r="AC167" s="15" t="str">
        <f t="shared" si="7"/>
        <v/>
      </c>
      <c r="AD167" s="15" t="str">
        <f t="shared" si="1"/>
        <v/>
      </c>
      <c r="AE167" s="16" t="str">
        <f t="shared" si="11"/>
        <v/>
      </c>
      <c r="AF167" s="16" t="str">
        <f>IF($E167="","",IF($H167="pdf",IFERROR(IF($X167&gt;=Weights!$B$10,1,0),0),1))</f>
        <v/>
      </c>
      <c r="AG167" s="16" t="str">
        <f t="shared" si="12"/>
        <v/>
      </c>
      <c r="AH167" s="15" t="str">
        <f>IF($E167="","",IFERROR((Weights!$B$2*$O167 + Weights!$B$3*$AE167 + Weights!$B$4*$AD167 + Weights!$B$5*(1-$AC167) + Weights!$B$6*$AF167 + Weights!$B$7*$AG167)/SUM(Weights!$B$2:$B$7),"" ))</f>
        <v/>
      </c>
      <c r="AI167" s="15" t="str">
        <f>IF($E167="","",IF($O167=0,0,IFERROR($AH167/MAX(Weights!$B$8,$Y167)/MAX(Weights!$B$9,IF($Z167="",0,$Z167)), "")))</f>
        <v/>
      </c>
      <c r="AJ167" s="17"/>
    </row>
    <row r="168" ht="15.75" customHeight="1">
      <c r="A168" s="10"/>
      <c r="B168" s="39"/>
      <c r="C168" s="10"/>
      <c r="D168" s="10"/>
      <c r="E168" s="10"/>
      <c r="F168" s="10" t="str">
        <f>IF($E168="","",VLOOKUP($E168,Benchmark_URLs!$A$2:$L$46,4,FALSE))</f>
        <v/>
      </c>
      <c r="G168" s="10"/>
      <c r="H168" s="10" t="str">
        <f>IF($E168="","",VLOOKUP($E168,Benchmark_URLs!$A$2:$L$46,6,FALSE))</f>
        <v/>
      </c>
      <c r="I168" s="10" t="str">
        <f>IF($E168="","",VLOOKUP($E168,Benchmark_URLs!$A$2:$L$46,7,FALSE))</f>
        <v/>
      </c>
      <c r="J168" s="10" t="str">
        <f>IF($E168="","",VLOOKUP($E168,Benchmark_URLs!$A$2:$L$46,8,FALSE))</f>
        <v/>
      </c>
      <c r="K168" s="10" t="str">
        <f>IF($E168="","",VLOOKUP($E168,Benchmark_URLs!$A$2:$L$46,9,FALSE))</f>
        <v/>
      </c>
      <c r="L168" s="10" t="str">
        <f>IF($E168="","",VLOOKUP($E168,Benchmark_URLs!$A$2:$L$46,10,FALSE))</f>
        <v/>
      </c>
      <c r="M168" s="10" t="str">
        <f>IF($E168="","",VLOOKUP($E168,Benchmark_URLs!$A$2:$L$46,11,FALSE))</f>
        <v/>
      </c>
      <c r="N168" s="16"/>
      <c r="O168" s="16"/>
      <c r="P168" s="16"/>
      <c r="Q168" s="19"/>
      <c r="R168" s="19"/>
      <c r="S168" s="19"/>
      <c r="T168" s="16"/>
      <c r="U168" s="16"/>
      <c r="V168" s="16"/>
      <c r="W168" s="19"/>
      <c r="X168" s="19"/>
      <c r="Y168" s="20"/>
      <c r="Z168" s="20"/>
      <c r="AA168" s="10"/>
      <c r="AB168" s="10"/>
      <c r="AC168" s="15" t="str">
        <f t="shared" si="7"/>
        <v/>
      </c>
      <c r="AD168" s="15" t="str">
        <f t="shared" si="1"/>
        <v/>
      </c>
      <c r="AE168" s="16" t="str">
        <f t="shared" si="11"/>
        <v/>
      </c>
      <c r="AF168" s="16" t="str">
        <f>IF($E168="","",IF($H168="pdf",IFERROR(IF($X168&gt;=Weights!$B$10,1,0),0),1))</f>
        <v/>
      </c>
      <c r="AG168" s="16" t="str">
        <f t="shared" si="12"/>
        <v/>
      </c>
      <c r="AH168" s="15" t="str">
        <f>IF($E168="","",IFERROR((Weights!$B$2*$O168 + Weights!$B$3*$AE168 + Weights!$B$4*$AD168 + Weights!$B$5*(1-$AC168) + Weights!$B$6*$AF168 + Weights!$B$7*$AG168)/SUM(Weights!$B$2:$B$7),"" ))</f>
        <v/>
      </c>
      <c r="AI168" s="15" t="str">
        <f>IF($E168="","",IF($O168=0,0,IFERROR($AH168/MAX(Weights!$B$8,$Y168)/MAX(Weights!$B$9,IF($Z168="",0,$Z168)), "")))</f>
        <v/>
      </c>
      <c r="AJ168" s="17"/>
    </row>
    <row r="169" ht="15.75" customHeight="1">
      <c r="A169" s="10"/>
      <c r="B169" s="39"/>
      <c r="C169" s="10"/>
      <c r="D169" s="10"/>
      <c r="E169" s="10"/>
      <c r="F169" s="10" t="str">
        <f>IF($E169="","",VLOOKUP($E169,Benchmark_URLs!$A$2:$L$46,4,FALSE))</f>
        <v/>
      </c>
      <c r="G169" s="10"/>
      <c r="H169" s="10" t="str">
        <f>IF($E169="","",VLOOKUP($E169,Benchmark_URLs!$A$2:$L$46,6,FALSE))</f>
        <v/>
      </c>
      <c r="I169" s="10" t="str">
        <f>IF($E169="","",VLOOKUP($E169,Benchmark_URLs!$A$2:$L$46,7,FALSE))</f>
        <v/>
      </c>
      <c r="J169" s="10" t="str">
        <f>IF($E169="","",VLOOKUP($E169,Benchmark_URLs!$A$2:$L$46,8,FALSE))</f>
        <v/>
      </c>
      <c r="K169" s="10" t="str">
        <f>IF($E169="","",VLOOKUP($E169,Benchmark_URLs!$A$2:$L$46,9,FALSE))</f>
        <v/>
      </c>
      <c r="L169" s="10" t="str">
        <f>IF($E169="","",VLOOKUP($E169,Benchmark_URLs!$A$2:$L$46,10,FALSE))</f>
        <v/>
      </c>
      <c r="M169" s="10" t="str">
        <f>IF($E169="","",VLOOKUP($E169,Benchmark_URLs!$A$2:$L$46,11,FALSE))</f>
        <v/>
      </c>
      <c r="N169" s="16"/>
      <c r="O169" s="16"/>
      <c r="P169" s="16"/>
      <c r="Q169" s="19"/>
      <c r="R169" s="19"/>
      <c r="S169" s="19"/>
      <c r="T169" s="16"/>
      <c r="U169" s="16"/>
      <c r="V169" s="16"/>
      <c r="W169" s="19"/>
      <c r="X169" s="19"/>
      <c r="Y169" s="20"/>
      <c r="Z169" s="20"/>
      <c r="AA169" s="10"/>
      <c r="AB169" s="10"/>
      <c r="AC169" s="15" t="str">
        <f t="shared" si="7"/>
        <v/>
      </c>
      <c r="AD169" s="15" t="str">
        <f t="shared" si="1"/>
        <v/>
      </c>
      <c r="AE169" s="16" t="str">
        <f t="shared" si="11"/>
        <v/>
      </c>
      <c r="AF169" s="16" t="str">
        <f>IF($E169="","",IF($H169="pdf",IFERROR(IF($X169&gt;=Weights!$B$10,1,0),0),1))</f>
        <v/>
      </c>
      <c r="AG169" s="16" t="str">
        <f t="shared" si="12"/>
        <v/>
      </c>
      <c r="AH169" s="15" t="str">
        <f>IF($E169="","",IFERROR((Weights!$B$2*$O169 + Weights!$B$3*$AE169 + Weights!$B$4*$AD169 + Weights!$B$5*(1-$AC169) + Weights!$B$6*$AF169 + Weights!$B$7*$AG169)/SUM(Weights!$B$2:$B$7),"" ))</f>
        <v/>
      </c>
      <c r="AI169" s="15" t="str">
        <f>IF($E169="","",IF($O169=0,0,IFERROR($AH169/MAX(Weights!$B$8,$Y169)/MAX(Weights!$B$9,IF($Z169="",0,$Z169)), "")))</f>
        <v/>
      </c>
      <c r="AJ169" s="17"/>
    </row>
    <row r="170" ht="15.75" customHeight="1">
      <c r="A170" s="10"/>
      <c r="B170" s="39"/>
      <c r="C170" s="10"/>
      <c r="D170" s="10"/>
      <c r="E170" s="10"/>
      <c r="F170" s="10" t="str">
        <f>IF($E170="","",VLOOKUP($E170,Benchmark_URLs!$A$2:$L$46,4,FALSE))</f>
        <v/>
      </c>
      <c r="G170" s="10"/>
      <c r="H170" s="10" t="str">
        <f>IF($E170="","",VLOOKUP($E170,Benchmark_URLs!$A$2:$L$46,6,FALSE))</f>
        <v/>
      </c>
      <c r="I170" s="10" t="str">
        <f>IF($E170="","",VLOOKUP($E170,Benchmark_URLs!$A$2:$L$46,7,FALSE))</f>
        <v/>
      </c>
      <c r="J170" s="10" t="str">
        <f>IF($E170="","",VLOOKUP($E170,Benchmark_URLs!$A$2:$L$46,8,FALSE))</f>
        <v/>
      </c>
      <c r="K170" s="10" t="str">
        <f>IF($E170="","",VLOOKUP($E170,Benchmark_URLs!$A$2:$L$46,9,FALSE))</f>
        <v/>
      </c>
      <c r="L170" s="10" t="str">
        <f>IF($E170="","",VLOOKUP($E170,Benchmark_URLs!$A$2:$L$46,10,FALSE))</f>
        <v/>
      </c>
      <c r="M170" s="10" t="str">
        <f>IF($E170="","",VLOOKUP($E170,Benchmark_URLs!$A$2:$L$46,11,FALSE))</f>
        <v/>
      </c>
      <c r="N170" s="16"/>
      <c r="O170" s="16"/>
      <c r="P170" s="16"/>
      <c r="Q170" s="19"/>
      <c r="R170" s="19"/>
      <c r="S170" s="19"/>
      <c r="T170" s="16"/>
      <c r="U170" s="16"/>
      <c r="V170" s="16"/>
      <c r="W170" s="19"/>
      <c r="X170" s="19"/>
      <c r="Y170" s="20"/>
      <c r="Z170" s="20"/>
      <c r="AA170" s="10"/>
      <c r="AB170" s="10"/>
      <c r="AC170" s="15" t="str">
        <f t="shared" si="7"/>
        <v/>
      </c>
      <c r="AD170" s="15" t="str">
        <f t="shared" si="1"/>
        <v/>
      </c>
      <c r="AE170" s="16" t="str">
        <f t="shared" si="11"/>
        <v/>
      </c>
      <c r="AF170" s="16" t="str">
        <f>IF($E170="","",IF($H170="pdf",IFERROR(IF($X170&gt;=Weights!$B$10,1,0),0),1))</f>
        <v/>
      </c>
      <c r="AG170" s="16" t="str">
        <f t="shared" si="12"/>
        <v/>
      </c>
      <c r="AH170" s="15" t="str">
        <f>IF($E170="","",IFERROR((Weights!$B$2*$O170 + Weights!$B$3*$AE170 + Weights!$B$4*$AD170 + Weights!$B$5*(1-$AC170) + Weights!$B$6*$AF170 + Weights!$B$7*$AG170)/SUM(Weights!$B$2:$B$7),"" ))</f>
        <v/>
      </c>
      <c r="AI170" s="15" t="str">
        <f>IF($E170="","",IF($O170=0,0,IFERROR($AH170/MAX(Weights!$B$8,$Y170)/MAX(Weights!$B$9,IF($Z170="",0,$Z170)), "")))</f>
        <v/>
      </c>
      <c r="AJ170" s="17"/>
    </row>
    <row r="171" ht="15.75" customHeight="1">
      <c r="A171" s="10"/>
      <c r="B171" s="39"/>
      <c r="C171" s="10"/>
      <c r="D171" s="10"/>
      <c r="E171" s="10"/>
      <c r="F171" s="10" t="str">
        <f>IF($E171="","",VLOOKUP($E171,Benchmark_URLs!$A$2:$L$46,4,FALSE))</f>
        <v/>
      </c>
      <c r="G171" s="10"/>
      <c r="H171" s="10" t="str">
        <f>IF($E171="","",VLOOKUP($E171,Benchmark_URLs!$A$2:$L$46,6,FALSE))</f>
        <v/>
      </c>
      <c r="I171" s="10" t="str">
        <f>IF($E171="","",VLOOKUP($E171,Benchmark_URLs!$A$2:$L$46,7,FALSE))</f>
        <v/>
      </c>
      <c r="J171" s="10" t="str">
        <f>IF($E171="","",VLOOKUP($E171,Benchmark_URLs!$A$2:$L$46,8,FALSE))</f>
        <v/>
      </c>
      <c r="K171" s="10" t="str">
        <f>IF($E171="","",VLOOKUP($E171,Benchmark_URLs!$A$2:$L$46,9,FALSE))</f>
        <v/>
      </c>
      <c r="L171" s="10" t="str">
        <f>IF($E171="","",VLOOKUP($E171,Benchmark_URLs!$A$2:$L$46,10,FALSE))</f>
        <v/>
      </c>
      <c r="M171" s="10" t="str">
        <f>IF($E171="","",VLOOKUP($E171,Benchmark_URLs!$A$2:$L$46,11,FALSE))</f>
        <v/>
      </c>
      <c r="N171" s="16"/>
      <c r="O171" s="16"/>
      <c r="P171" s="16"/>
      <c r="Q171" s="19"/>
      <c r="R171" s="19"/>
      <c r="S171" s="19"/>
      <c r="T171" s="16"/>
      <c r="U171" s="16"/>
      <c r="V171" s="16"/>
      <c r="W171" s="19"/>
      <c r="X171" s="19"/>
      <c r="Y171" s="20"/>
      <c r="Z171" s="20"/>
      <c r="AA171" s="10"/>
      <c r="AB171" s="10"/>
      <c r="AC171" s="15" t="str">
        <f t="shared" si="7"/>
        <v/>
      </c>
      <c r="AD171" s="15" t="str">
        <f t="shared" si="1"/>
        <v/>
      </c>
      <c r="AE171" s="16" t="str">
        <f t="shared" si="11"/>
        <v/>
      </c>
      <c r="AF171" s="16" t="str">
        <f>IF($E171="","",IF($H171="pdf",IFERROR(IF($X171&gt;=Weights!$B$10,1,0),0),1))</f>
        <v/>
      </c>
      <c r="AG171" s="16" t="str">
        <f t="shared" si="12"/>
        <v/>
      </c>
      <c r="AH171" s="15" t="str">
        <f>IF($E171="","",IFERROR((Weights!$B$2*$O171 + Weights!$B$3*$AE171 + Weights!$B$4*$AD171 + Weights!$B$5*(1-$AC171) + Weights!$B$6*$AF171 + Weights!$B$7*$AG171)/SUM(Weights!$B$2:$B$7),"" ))</f>
        <v/>
      </c>
      <c r="AI171" s="15" t="str">
        <f>IF($E171="","",IF($O171=0,0,IFERROR($AH171/MAX(Weights!$B$8,$Y171)/MAX(Weights!$B$9,IF($Z171="",0,$Z171)), "")))</f>
        <v/>
      </c>
      <c r="AJ171" s="17"/>
    </row>
    <row r="172" ht="15.75" customHeight="1">
      <c r="A172" s="10"/>
      <c r="B172" s="39"/>
      <c r="C172" s="10"/>
      <c r="D172" s="10"/>
      <c r="E172" s="10"/>
      <c r="F172" s="10" t="str">
        <f>IF($E172="","",VLOOKUP($E172,Benchmark_URLs!$A$2:$L$46,4,FALSE))</f>
        <v/>
      </c>
      <c r="G172" s="10"/>
      <c r="H172" s="10" t="str">
        <f>IF($E172="","",VLOOKUP($E172,Benchmark_URLs!$A$2:$L$46,6,FALSE))</f>
        <v/>
      </c>
      <c r="I172" s="10" t="str">
        <f>IF($E172="","",VLOOKUP($E172,Benchmark_URLs!$A$2:$L$46,7,FALSE))</f>
        <v/>
      </c>
      <c r="J172" s="10" t="str">
        <f>IF($E172="","",VLOOKUP($E172,Benchmark_URLs!$A$2:$L$46,8,FALSE))</f>
        <v/>
      </c>
      <c r="K172" s="10" t="str">
        <f>IF($E172="","",VLOOKUP($E172,Benchmark_URLs!$A$2:$L$46,9,FALSE))</f>
        <v/>
      </c>
      <c r="L172" s="10" t="str">
        <f>IF($E172="","",VLOOKUP($E172,Benchmark_URLs!$A$2:$L$46,10,FALSE))</f>
        <v/>
      </c>
      <c r="M172" s="10" t="str">
        <f>IF($E172="","",VLOOKUP($E172,Benchmark_URLs!$A$2:$L$46,11,FALSE))</f>
        <v/>
      </c>
      <c r="N172" s="16"/>
      <c r="O172" s="16"/>
      <c r="P172" s="16"/>
      <c r="Q172" s="19"/>
      <c r="R172" s="19"/>
      <c r="S172" s="19"/>
      <c r="T172" s="16"/>
      <c r="U172" s="16"/>
      <c r="V172" s="16"/>
      <c r="W172" s="19"/>
      <c r="X172" s="19"/>
      <c r="Y172" s="20"/>
      <c r="Z172" s="20"/>
      <c r="AA172" s="10"/>
      <c r="AB172" s="10"/>
      <c r="AC172" s="15" t="str">
        <f t="shared" si="7"/>
        <v/>
      </c>
      <c r="AD172" s="15" t="str">
        <f t="shared" si="1"/>
        <v/>
      </c>
      <c r="AE172" s="16" t="str">
        <f t="shared" si="11"/>
        <v/>
      </c>
      <c r="AF172" s="16" t="str">
        <f>IF($E172="","",IF($H172="pdf",IFERROR(IF($X172&gt;=Weights!$B$10,1,0),0),1))</f>
        <v/>
      </c>
      <c r="AG172" s="16" t="str">
        <f t="shared" si="12"/>
        <v/>
      </c>
      <c r="AH172" s="15" t="str">
        <f>IF($E172="","",IFERROR((Weights!$B$2*$O172 + Weights!$B$3*$AE172 + Weights!$B$4*$AD172 + Weights!$B$5*(1-$AC172) + Weights!$B$6*$AF172 + Weights!$B$7*$AG172)/SUM(Weights!$B$2:$B$7),"" ))</f>
        <v/>
      </c>
      <c r="AI172" s="15" t="str">
        <f>IF($E172="","",IF($O172=0,0,IFERROR($AH172/MAX(Weights!$B$8,$Y172)/MAX(Weights!$B$9,IF($Z172="",0,$Z172)), "")))</f>
        <v/>
      </c>
      <c r="AJ172" s="17"/>
    </row>
    <row r="173" ht="15.75" customHeight="1">
      <c r="A173" s="10"/>
      <c r="B173" s="39"/>
      <c r="C173" s="10"/>
      <c r="D173" s="10"/>
      <c r="E173" s="10"/>
      <c r="F173" s="10" t="str">
        <f>IF($E173="","",VLOOKUP($E173,Benchmark_URLs!$A$2:$L$46,4,FALSE))</f>
        <v/>
      </c>
      <c r="G173" s="10"/>
      <c r="H173" s="10" t="str">
        <f>IF($E173="","",VLOOKUP($E173,Benchmark_URLs!$A$2:$L$46,6,FALSE))</f>
        <v/>
      </c>
      <c r="I173" s="10" t="str">
        <f>IF($E173="","",VLOOKUP($E173,Benchmark_URLs!$A$2:$L$46,7,FALSE))</f>
        <v/>
      </c>
      <c r="J173" s="10" t="str">
        <f>IF($E173="","",VLOOKUP($E173,Benchmark_URLs!$A$2:$L$46,8,FALSE))</f>
        <v/>
      </c>
      <c r="K173" s="10" t="str">
        <f>IF($E173="","",VLOOKUP($E173,Benchmark_URLs!$A$2:$L$46,9,FALSE))</f>
        <v/>
      </c>
      <c r="L173" s="10" t="str">
        <f>IF($E173="","",VLOOKUP($E173,Benchmark_URLs!$A$2:$L$46,10,FALSE))</f>
        <v/>
      </c>
      <c r="M173" s="10" t="str">
        <f>IF($E173="","",VLOOKUP($E173,Benchmark_URLs!$A$2:$L$46,11,FALSE))</f>
        <v/>
      </c>
      <c r="N173" s="16"/>
      <c r="O173" s="16"/>
      <c r="P173" s="16"/>
      <c r="Q173" s="19"/>
      <c r="R173" s="19"/>
      <c r="S173" s="19"/>
      <c r="T173" s="16"/>
      <c r="U173" s="16"/>
      <c r="V173" s="16"/>
      <c r="W173" s="19"/>
      <c r="X173" s="19"/>
      <c r="Y173" s="20"/>
      <c r="Z173" s="20"/>
      <c r="AA173" s="10"/>
      <c r="AB173" s="10"/>
      <c r="AC173" s="15" t="str">
        <f t="shared" si="7"/>
        <v/>
      </c>
      <c r="AD173" s="15" t="str">
        <f t="shared" si="1"/>
        <v/>
      </c>
      <c r="AE173" s="16" t="str">
        <f t="shared" si="11"/>
        <v/>
      </c>
      <c r="AF173" s="16" t="str">
        <f>IF($E173="","",IF($H173="pdf",IFERROR(IF($X173&gt;=Weights!$B$10,1,0),0),1))</f>
        <v/>
      </c>
      <c r="AG173" s="16" t="str">
        <f t="shared" si="12"/>
        <v/>
      </c>
      <c r="AH173" s="15" t="str">
        <f>IF($E173="","",IFERROR((Weights!$B$2*$O173 + Weights!$B$3*$AE173 + Weights!$B$4*$AD173 + Weights!$B$5*(1-$AC173) + Weights!$B$6*$AF173 + Weights!$B$7*$AG173)/SUM(Weights!$B$2:$B$7),"" ))</f>
        <v/>
      </c>
      <c r="AI173" s="15" t="str">
        <f>IF($E173="","",IF($O173=0,0,IFERROR($AH173/MAX(Weights!$B$8,$Y173)/MAX(Weights!$B$9,IF($Z173="",0,$Z173)), "")))</f>
        <v/>
      </c>
      <c r="AJ173" s="17"/>
    </row>
    <row r="174" ht="15.75" customHeight="1">
      <c r="A174" s="10"/>
      <c r="B174" s="39"/>
      <c r="C174" s="10"/>
      <c r="D174" s="10"/>
      <c r="E174" s="10"/>
      <c r="F174" s="10" t="str">
        <f>IF($E174="","",VLOOKUP($E174,Benchmark_URLs!$A$2:$L$46,4,FALSE))</f>
        <v/>
      </c>
      <c r="G174" s="10"/>
      <c r="H174" s="10" t="str">
        <f>IF($E174="","",VLOOKUP($E174,Benchmark_URLs!$A$2:$L$46,6,FALSE))</f>
        <v/>
      </c>
      <c r="I174" s="10" t="str">
        <f>IF($E174="","",VLOOKUP($E174,Benchmark_URLs!$A$2:$L$46,7,FALSE))</f>
        <v/>
      </c>
      <c r="J174" s="10" t="str">
        <f>IF($E174="","",VLOOKUP($E174,Benchmark_URLs!$A$2:$L$46,8,FALSE))</f>
        <v/>
      </c>
      <c r="K174" s="10" t="str">
        <f>IF($E174="","",VLOOKUP($E174,Benchmark_URLs!$A$2:$L$46,9,FALSE))</f>
        <v/>
      </c>
      <c r="L174" s="10" t="str">
        <f>IF($E174="","",VLOOKUP($E174,Benchmark_URLs!$A$2:$L$46,10,FALSE))</f>
        <v/>
      </c>
      <c r="M174" s="10" t="str">
        <f>IF($E174="","",VLOOKUP($E174,Benchmark_URLs!$A$2:$L$46,11,FALSE))</f>
        <v/>
      </c>
      <c r="N174" s="16"/>
      <c r="O174" s="16"/>
      <c r="P174" s="16"/>
      <c r="Q174" s="19"/>
      <c r="R174" s="19"/>
      <c r="S174" s="19"/>
      <c r="T174" s="16"/>
      <c r="U174" s="16"/>
      <c r="V174" s="16"/>
      <c r="W174" s="19"/>
      <c r="X174" s="19"/>
      <c r="Y174" s="20"/>
      <c r="Z174" s="20"/>
      <c r="AA174" s="10"/>
      <c r="AB174" s="10"/>
      <c r="AC174" s="15" t="str">
        <f t="shared" si="7"/>
        <v/>
      </c>
      <c r="AD174" s="15" t="str">
        <f t="shared" si="1"/>
        <v/>
      </c>
      <c r="AE174" s="16" t="str">
        <f t="shared" si="11"/>
        <v/>
      </c>
      <c r="AF174" s="16" t="str">
        <f>IF($E174="","",IF($H174="pdf",IFERROR(IF($X174&gt;=Weights!$B$10,1,0),0),1))</f>
        <v/>
      </c>
      <c r="AG174" s="16" t="str">
        <f t="shared" si="12"/>
        <v/>
      </c>
      <c r="AH174" s="15" t="str">
        <f>IF($E174="","",IFERROR((Weights!$B$2*$O174 + Weights!$B$3*$AE174 + Weights!$B$4*$AD174 + Weights!$B$5*(1-$AC174) + Weights!$B$6*$AF174 + Weights!$B$7*$AG174)/SUM(Weights!$B$2:$B$7),"" ))</f>
        <v/>
      </c>
      <c r="AI174" s="15" t="str">
        <f>IF($E174="","",IF($O174=0,0,IFERROR($AH174/MAX(Weights!$B$8,$Y174)/MAX(Weights!$B$9,IF($Z174="",0,$Z174)), "")))</f>
        <v/>
      </c>
      <c r="AJ174" s="17"/>
    </row>
    <row r="175" ht="15.75" customHeight="1">
      <c r="A175" s="10"/>
      <c r="B175" s="39"/>
      <c r="C175" s="10"/>
      <c r="D175" s="10"/>
      <c r="E175" s="10"/>
      <c r="F175" s="10" t="str">
        <f>IF($E175="","",VLOOKUP($E175,Benchmark_URLs!$A$2:$L$46,4,FALSE))</f>
        <v/>
      </c>
      <c r="G175" s="10"/>
      <c r="H175" s="10" t="str">
        <f>IF($E175="","",VLOOKUP($E175,Benchmark_URLs!$A$2:$L$46,6,FALSE))</f>
        <v/>
      </c>
      <c r="I175" s="10" t="str">
        <f>IF($E175="","",VLOOKUP($E175,Benchmark_URLs!$A$2:$L$46,7,FALSE))</f>
        <v/>
      </c>
      <c r="J175" s="10" t="str">
        <f>IF($E175="","",VLOOKUP($E175,Benchmark_URLs!$A$2:$L$46,8,FALSE))</f>
        <v/>
      </c>
      <c r="K175" s="10" t="str">
        <f>IF($E175="","",VLOOKUP($E175,Benchmark_URLs!$A$2:$L$46,9,FALSE))</f>
        <v/>
      </c>
      <c r="L175" s="10" t="str">
        <f>IF($E175="","",VLOOKUP($E175,Benchmark_URLs!$A$2:$L$46,10,FALSE))</f>
        <v/>
      </c>
      <c r="M175" s="10" t="str">
        <f>IF($E175="","",VLOOKUP($E175,Benchmark_URLs!$A$2:$L$46,11,FALSE))</f>
        <v/>
      </c>
      <c r="N175" s="16"/>
      <c r="O175" s="16"/>
      <c r="P175" s="16"/>
      <c r="Q175" s="19"/>
      <c r="R175" s="19"/>
      <c r="S175" s="19"/>
      <c r="T175" s="16"/>
      <c r="U175" s="16"/>
      <c r="V175" s="16"/>
      <c r="W175" s="19"/>
      <c r="X175" s="19"/>
      <c r="Y175" s="20"/>
      <c r="Z175" s="20"/>
      <c r="AA175" s="10"/>
      <c r="AB175" s="10"/>
      <c r="AC175" s="15" t="str">
        <f t="shared" si="7"/>
        <v/>
      </c>
      <c r="AD175" s="15" t="str">
        <f t="shared" si="1"/>
        <v/>
      </c>
      <c r="AE175" s="16" t="str">
        <f t="shared" si="11"/>
        <v/>
      </c>
      <c r="AF175" s="16" t="str">
        <f>IF($E175="","",IF($H175="pdf",IFERROR(IF($X175&gt;=Weights!$B$10,1,0),0),1))</f>
        <v/>
      </c>
      <c r="AG175" s="16" t="str">
        <f t="shared" si="12"/>
        <v/>
      </c>
      <c r="AH175" s="15" t="str">
        <f>IF($E175="","",IFERROR((Weights!$B$2*$O175 + Weights!$B$3*$AE175 + Weights!$B$4*$AD175 + Weights!$B$5*(1-$AC175) + Weights!$B$6*$AF175 + Weights!$B$7*$AG175)/SUM(Weights!$B$2:$B$7),"" ))</f>
        <v/>
      </c>
      <c r="AI175" s="15" t="str">
        <f>IF($E175="","",IF($O175=0,0,IFERROR($AH175/MAX(Weights!$B$8,$Y175)/MAX(Weights!$B$9,IF($Z175="",0,$Z175)), "")))</f>
        <v/>
      </c>
      <c r="AJ175" s="17"/>
    </row>
    <row r="176" ht="15.75" customHeight="1">
      <c r="A176" s="10"/>
      <c r="B176" s="39"/>
      <c r="C176" s="10"/>
      <c r="D176" s="10"/>
      <c r="E176" s="10"/>
      <c r="F176" s="10" t="str">
        <f>IF($E176="","",VLOOKUP($E176,Benchmark_URLs!$A$2:$L$46,4,FALSE))</f>
        <v/>
      </c>
      <c r="G176" s="10"/>
      <c r="H176" s="10" t="str">
        <f>IF($E176="","",VLOOKUP($E176,Benchmark_URLs!$A$2:$L$46,6,FALSE))</f>
        <v/>
      </c>
      <c r="I176" s="10" t="str">
        <f>IF($E176="","",VLOOKUP($E176,Benchmark_URLs!$A$2:$L$46,7,FALSE))</f>
        <v/>
      </c>
      <c r="J176" s="10" t="str">
        <f>IF($E176="","",VLOOKUP($E176,Benchmark_URLs!$A$2:$L$46,8,FALSE))</f>
        <v/>
      </c>
      <c r="K176" s="10" t="str">
        <f>IF($E176="","",VLOOKUP($E176,Benchmark_URLs!$A$2:$L$46,9,FALSE))</f>
        <v/>
      </c>
      <c r="L176" s="10" t="str">
        <f>IF($E176="","",VLOOKUP($E176,Benchmark_URLs!$A$2:$L$46,10,FALSE))</f>
        <v/>
      </c>
      <c r="M176" s="10" t="str">
        <f>IF($E176="","",VLOOKUP($E176,Benchmark_URLs!$A$2:$L$46,11,FALSE))</f>
        <v/>
      </c>
      <c r="N176" s="16"/>
      <c r="O176" s="16"/>
      <c r="P176" s="16"/>
      <c r="Q176" s="19"/>
      <c r="R176" s="19"/>
      <c r="S176" s="19"/>
      <c r="T176" s="16"/>
      <c r="U176" s="16"/>
      <c r="V176" s="16"/>
      <c r="W176" s="19"/>
      <c r="X176" s="19"/>
      <c r="Y176" s="20"/>
      <c r="Z176" s="20"/>
      <c r="AA176" s="10"/>
      <c r="AB176" s="10"/>
      <c r="AC176" s="15" t="str">
        <f t="shared" si="7"/>
        <v/>
      </c>
      <c r="AD176" s="15" t="str">
        <f t="shared" si="1"/>
        <v/>
      </c>
      <c r="AE176" s="16" t="str">
        <f t="shared" si="11"/>
        <v/>
      </c>
      <c r="AF176" s="16" t="str">
        <f>IF($E176="","",IF($H176="pdf",IFERROR(IF($X176&gt;=Weights!$B$10,1,0),0),1))</f>
        <v/>
      </c>
      <c r="AG176" s="16" t="str">
        <f t="shared" si="12"/>
        <v/>
      </c>
      <c r="AH176" s="15" t="str">
        <f>IF($E176="","",IFERROR((Weights!$B$2*$O176 + Weights!$B$3*$AE176 + Weights!$B$4*$AD176 + Weights!$B$5*(1-$AC176) + Weights!$B$6*$AF176 + Weights!$B$7*$AG176)/SUM(Weights!$B$2:$B$7),"" ))</f>
        <v/>
      </c>
      <c r="AI176" s="15" t="str">
        <f>IF($E176="","",IF($O176=0,0,IFERROR($AH176/MAX(Weights!$B$8,$Y176)/MAX(Weights!$B$9,IF($Z176="",0,$Z176)), "")))</f>
        <v/>
      </c>
      <c r="AJ176" s="17"/>
    </row>
    <row r="177" ht="15.75" customHeight="1">
      <c r="A177" s="10"/>
      <c r="B177" s="39"/>
      <c r="C177" s="10"/>
      <c r="D177" s="10"/>
      <c r="E177" s="10"/>
      <c r="F177" s="10" t="str">
        <f>IF($E177="","",VLOOKUP($E177,Benchmark_URLs!$A$2:$L$46,4,FALSE))</f>
        <v/>
      </c>
      <c r="G177" s="10"/>
      <c r="H177" s="10" t="str">
        <f>IF($E177="","",VLOOKUP($E177,Benchmark_URLs!$A$2:$L$46,6,FALSE))</f>
        <v/>
      </c>
      <c r="I177" s="10" t="str">
        <f>IF($E177="","",VLOOKUP($E177,Benchmark_URLs!$A$2:$L$46,7,FALSE))</f>
        <v/>
      </c>
      <c r="J177" s="10" t="str">
        <f>IF($E177="","",VLOOKUP($E177,Benchmark_URLs!$A$2:$L$46,8,FALSE))</f>
        <v/>
      </c>
      <c r="K177" s="10" t="str">
        <f>IF($E177="","",VLOOKUP($E177,Benchmark_URLs!$A$2:$L$46,9,FALSE))</f>
        <v/>
      </c>
      <c r="L177" s="10" t="str">
        <f>IF($E177="","",VLOOKUP($E177,Benchmark_URLs!$A$2:$L$46,10,FALSE))</f>
        <v/>
      </c>
      <c r="M177" s="10" t="str">
        <f>IF($E177="","",VLOOKUP($E177,Benchmark_URLs!$A$2:$L$46,11,FALSE))</f>
        <v/>
      </c>
      <c r="N177" s="16"/>
      <c r="O177" s="16"/>
      <c r="P177" s="16"/>
      <c r="Q177" s="19"/>
      <c r="R177" s="19"/>
      <c r="S177" s="19"/>
      <c r="T177" s="16"/>
      <c r="U177" s="16"/>
      <c r="V177" s="16"/>
      <c r="W177" s="19"/>
      <c r="X177" s="19"/>
      <c r="Y177" s="20"/>
      <c r="Z177" s="20"/>
      <c r="AA177" s="10"/>
      <c r="AB177" s="10"/>
      <c r="AC177" s="15" t="str">
        <f t="shared" si="7"/>
        <v/>
      </c>
      <c r="AD177" s="15" t="str">
        <f t="shared" si="1"/>
        <v/>
      </c>
      <c r="AE177" s="16" t="str">
        <f t="shared" si="11"/>
        <v/>
      </c>
      <c r="AF177" s="16" t="str">
        <f>IF($E177="","",IF($H177="pdf",IFERROR(IF($X177&gt;=Weights!$B$10,1,0),0),1))</f>
        <v/>
      </c>
      <c r="AG177" s="16" t="str">
        <f t="shared" si="12"/>
        <v/>
      </c>
      <c r="AH177" s="15" t="str">
        <f>IF($E177="","",IFERROR((Weights!$B$2*$O177 + Weights!$B$3*$AE177 + Weights!$B$4*$AD177 + Weights!$B$5*(1-$AC177) + Weights!$B$6*$AF177 + Weights!$B$7*$AG177)/SUM(Weights!$B$2:$B$7),"" ))</f>
        <v/>
      </c>
      <c r="AI177" s="15" t="str">
        <f>IF($E177="","",IF($O177=0,0,IFERROR($AH177/MAX(Weights!$B$8,$Y177)/MAX(Weights!$B$9,IF($Z177="",0,$Z177)), "")))</f>
        <v/>
      </c>
      <c r="AJ177" s="17"/>
    </row>
    <row r="178" ht="15.75" customHeight="1">
      <c r="A178" s="10"/>
      <c r="B178" s="39"/>
      <c r="C178" s="10"/>
      <c r="D178" s="10"/>
      <c r="E178" s="10"/>
      <c r="F178" s="10" t="str">
        <f>IF($E178="","",VLOOKUP($E178,Benchmark_URLs!$A$2:$L$46,4,FALSE))</f>
        <v/>
      </c>
      <c r="G178" s="10"/>
      <c r="H178" s="10" t="str">
        <f>IF($E178="","",VLOOKUP($E178,Benchmark_URLs!$A$2:$L$46,6,FALSE))</f>
        <v/>
      </c>
      <c r="I178" s="10" t="str">
        <f>IF($E178="","",VLOOKUP($E178,Benchmark_URLs!$A$2:$L$46,7,FALSE))</f>
        <v/>
      </c>
      <c r="J178" s="10" t="str">
        <f>IF($E178="","",VLOOKUP($E178,Benchmark_URLs!$A$2:$L$46,8,FALSE))</f>
        <v/>
      </c>
      <c r="K178" s="10" t="str">
        <f>IF($E178="","",VLOOKUP($E178,Benchmark_URLs!$A$2:$L$46,9,FALSE))</f>
        <v/>
      </c>
      <c r="L178" s="10" t="str">
        <f>IF($E178="","",VLOOKUP($E178,Benchmark_URLs!$A$2:$L$46,10,FALSE))</f>
        <v/>
      </c>
      <c r="M178" s="10" t="str">
        <f>IF($E178="","",VLOOKUP($E178,Benchmark_URLs!$A$2:$L$46,11,FALSE))</f>
        <v/>
      </c>
      <c r="N178" s="16"/>
      <c r="O178" s="16"/>
      <c r="P178" s="16"/>
      <c r="Q178" s="19"/>
      <c r="R178" s="19"/>
      <c r="S178" s="19"/>
      <c r="T178" s="16"/>
      <c r="U178" s="16"/>
      <c r="V178" s="16"/>
      <c r="W178" s="19"/>
      <c r="X178" s="19"/>
      <c r="Y178" s="20"/>
      <c r="Z178" s="20"/>
      <c r="AA178" s="10"/>
      <c r="AB178" s="10"/>
      <c r="AC178" s="15" t="str">
        <f t="shared" si="7"/>
        <v/>
      </c>
      <c r="AD178" s="15" t="str">
        <f t="shared" si="1"/>
        <v/>
      </c>
      <c r="AE178" s="16" t="str">
        <f t="shared" si="11"/>
        <v/>
      </c>
      <c r="AF178" s="16" t="str">
        <f>IF($E178="","",IF($H178="pdf",IFERROR(IF($X178&gt;=Weights!$B$10,1,0),0),1))</f>
        <v/>
      </c>
      <c r="AG178" s="16" t="str">
        <f t="shared" si="12"/>
        <v/>
      </c>
      <c r="AH178" s="15" t="str">
        <f>IF($E178="","",IFERROR((Weights!$B$2*$O178 + Weights!$B$3*$AE178 + Weights!$B$4*$AD178 + Weights!$B$5*(1-$AC178) + Weights!$B$6*$AF178 + Weights!$B$7*$AG178)/SUM(Weights!$B$2:$B$7),"" ))</f>
        <v/>
      </c>
      <c r="AI178" s="15" t="str">
        <f>IF($E178="","",IF($O178=0,0,IFERROR($AH178/MAX(Weights!$B$8,$Y178)/MAX(Weights!$B$9,IF($Z178="",0,$Z178)), "")))</f>
        <v/>
      </c>
      <c r="AJ178" s="17"/>
    </row>
    <row r="179" ht="15.75" customHeight="1">
      <c r="A179" s="10"/>
      <c r="B179" s="39"/>
      <c r="C179" s="10"/>
      <c r="D179" s="10"/>
      <c r="E179" s="10"/>
      <c r="F179" s="10" t="str">
        <f>IF($E179="","",VLOOKUP($E179,Benchmark_URLs!$A$2:$L$46,4,FALSE))</f>
        <v/>
      </c>
      <c r="G179" s="10"/>
      <c r="H179" s="10" t="str">
        <f>IF($E179="","",VLOOKUP($E179,Benchmark_URLs!$A$2:$L$46,6,FALSE))</f>
        <v/>
      </c>
      <c r="I179" s="10" t="str">
        <f>IF($E179="","",VLOOKUP($E179,Benchmark_URLs!$A$2:$L$46,7,FALSE))</f>
        <v/>
      </c>
      <c r="J179" s="10" t="str">
        <f>IF($E179="","",VLOOKUP($E179,Benchmark_URLs!$A$2:$L$46,8,FALSE))</f>
        <v/>
      </c>
      <c r="K179" s="10" t="str">
        <f>IF($E179="","",VLOOKUP($E179,Benchmark_URLs!$A$2:$L$46,9,FALSE))</f>
        <v/>
      </c>
      <c r="L179" s="10" t="str">
        <f>IF($E179="","",VLOOKUP($E179,Benchmark_URLs!$A$2:$L$46,10,FALSE))</f>
        <v/>
      </c>
      <c r="M179" s="10" t="str">
        <f>IF($E179="","",VLOOKUP($E179,Benchmark_URLs!$A$2:$L$46,11,FALSE))</f>
        <v/>
      </c>
      <c r="N179" s="16"/>
      <c r="O179" s="16"/>
      <c r="P179" s="16"/>
      <c r="Q179" s="19"/>
      <c r="R179" s="19"/>
      <c r="S179" s="19"/>
      <c r="T179" s="16"/>
      <c r="U179" s="16"/>
      <c r="V179" s="16"/>
      <c r="W179" s="19"/>
      <c r="X179" s="19"/>
      <c r="Y179" s="20"/>
      <c r="Z179" s="20"/>
      <c r="AA179" s="10"/>
      <c r="AB179" s="10"/>
      <c r="AC179" s="15" t="str">
        <f t="shared" si="7"/>
        <v/>
      </c>
      <c r="AD179" s="15" t="str">
        <f t="shared" si="1"/>
        <v/>
      </c>
      <c r="AE179" s="16" t="str">
        <f t="shared" si="11"/>
        <v/>
      </c>
      <c r="AF179" s="16" t="str">
        <f>IF($E179="","",IF($H179="pdf",IFERROR(IF($X179&gt;=Weights!$B$10,1,0),0),1))</f>
        <v/>
      </c>
      <c r="AG179" s="16" t="str">
        <f t="shared" si="12"/>
        <v/>
      </c>
      <c r="AH179" s="15" t="str">
        <f>IF($E179="","",IFERROR((Weights!$B$2*$O179 + Weights!$B$3*$AE179 + Weights!$B$4*$AD179 + Weights!$B$5*(1-$AC179) + Weights!$B$6*$AF179 + Weights!$B$7*$AG179)/SUM(Weights!$B$2:$B$7),"" ))</f>
        <v/>
      </c>
      <c r="AI179" s="15" t="str">
        <f>IF($E179="","",IF($O179=0,0,IFERROR($AH179/MAX(Weights!$B$8,$Y179)/MAX(Weights!$B$9,IF($Z179="",0,$Z179)), "")))</f>
        <v/>
      </c>
      <c r="AJ179" s="17"/>
    </row>
    <row r="180" ht="15.75" customHeight="1">
      <c r="A180" s="10"/>
      <c r="B180" s="39"/>
      <c r="C180" s="10"/>
      <c r="D180" s="10"/>
      <c r="E180" s="10"/>
      <c r="F180" s="10" t="str">
        <f>IF($E180="","",VLOOKUP($E180,Benchmark_URLs!$A$2:$L$46,4,FALSE))</f>
        <v/>
      </c>
      <c r="G180" s="10"/>
      <c r="H180" s="10" t="str">
        <f>IF($E180="","",VLOOKUP($E180,Benchmark_URLs!$A$2:$L$46,6,FALSE))</f>
        <v/>
      </c>
      <c r="I180" s="10" t="str">
        <f>IF($E180="","",VLOOKUP($E180,Benchmark_URLs!$A$2:$L$46,7,FALSE))</f>
        <v/>
      </c>
      <c r="J180" s="10" t="str">
        <f>IF($E180="","",VLOOKUP($E180,Benchmark_URLs!$A$2:$L$46,8,FALSE))</f>
        <v/>
      </c>
      <c r="K180" s="10" t="str">
        <f>IF($E180="","",VLOOKUP($E180,Benchmark_URLs!$A$2:$L$46,9,FALSE))</f>
        <v/>
      </c>
      <c r="L180" s="10" t="str">
        <f>IF($E180="","",VLOOKUP($E180,Benchmark_URLs!$A$2:$L$46,10,FALSE))</f>
        <v/>
      </c>
      <c r="M180" s="10" t="str">
        <f>IF($E180="","",VLOOKUP($E180,Benchmark_URLs!$A$2:$L$46,11,FALSE))</f>
        <v/>
      </c>
      <c r="N180" s="16"/>
      <c r="O180" s="16"/>
      <c r="P180" s="16"/>
      <c r="Q180" s="19"/>
      <c r="R180" s="19"/>
      <c r="S180" s="19"/>
      <c r="T180" s="16"/>
      <c r="U180" s="16"/>
      <c r="V180" s="16"/>
      <c r="W180" s="19"/>
      <c r="X180" s="19"/>
      <c r="Y180" s="20"/>
      <c r="Z180" s="20"/>
      <c r="AA180" s="10"/>
      <c r="AB180" s="10"/>
      <c r="AC180" s="15" t="str">
        <f t="shared" si="7"/>
        <v/>
      </c>
      <c r="AD180" s="15" t="str">
        <f t="shared" si="1"/>
        <v/>
      </c>
      <c r="AE180" s="16" t="str">
        <f t="shared" si="11"/>
        <v/>
      </c>
      <c r="AF180" s="16" t="str">
        <f>IF($E180="","",IF($H180="pdf",IFERROR(IF($X180&gt;=Weights!$B$10,1,0),0),1))</f>
        <v/>
      </c>
      <c r="AG180" s="16" t="str">
        <f t="shared" si="12"/>
        <v/>
      </c>
      <c r="AH180" s="15" t="str">
        <f>IF($E180="","",IFERROR((Weights!$B$2*$O180 + Weights!$B$3*$AE180 + Weights!$B$4*$AD180 + Weights!$B$5*(1-$AC180) + Weights!$B$6*$AF180 + Weights!$B$7*$AG180)/SUM(Weights!$B$2:$B$7),"" ))</f>
        <v/>
      </c>
      <c r="AI180" s="15" t="str">
        <f>IF($E180="","",IF($O180=0,0,IFERROR($AH180/MAX(Weights!$B$8,$Y180)/MAX(Weights!$B$9,IF($Z180="",0,$Z180)), "")))</f>
        <v/>
      </c>
      <c r="AJ180" s="17"/>
    </row>
    <row r="181" ht="15.75" customHeight="1">
      <c r="A181" s="10"/>
      <c r="B181" s="39"/>
      <c r="C181" s="10"/>
      <c r="D181" s="10"/>
      <c r="E181" s="10"/>
      <c r="F181" s="10" t="str">
        <f>IF($E181="","",VLOOKUP($E181,Benchmark_URLs!$A$2:$L$46,4,FALSE))</f>
        <v/>
      </c>
      <c r="G181" s="10"/>
      <c r="H181" s="10" t="str">
        <f>IF($E181="","",VLOOKUP($E181,Benchmark_URLs!$A$2:$L$46,6,FALSE))</f>
        <v/>
      </c>
      <c r="I181" s="10" t="str">
        <f>IF($E181="","",VLOOKUP($E181,Benchmark_URLs!$A$2:$L$46,7,FALSE))</f>
        <v/>
      </c>
      <c r="J181" s="10" t="str">
        <f>IF($E181="","",VLOOKUP($E181,Benchmark_URLs!$A$2:$L$46,8,FALSE))</f>
        <v/>
      </c>
      <c r="K181" s="10" t="str">
        <f>IF($E181="","",VLOOKUP($E181,Benchmark_URLs!$A$2:$L$46,9,FALSE))</f>
        <v/>
      </c>
      <c r="L181" s="10" t="str">
        <f>IF($E181="","",VLOOKUP($E181,Benchmark_URLs!$A$2:$L$46,10,FALSE))</f>
        <v/>
      </c>
      <c r="M181" s="10" t="str">
        <f>IF($E181="","",VLOOKUP($E181,Benchmark_URLs!$A$2:$L$46,11,FALSE))</f>
        <v/>
      </c>
      <c r="N181" s="16"/>
      <c r="O181" s="16"/>
      <c r="P181" s="16"/>
      <c r="Q181" s="19"/>
      <c r="R181" s="19"/>
      <c r="S181" s="19"/>
      <c r="T181" s="16"/>
      <c r="U181" s="16"/>
      <c r="V181" s="16"/>
      <c r="W181" s="19"/>
      <c r="X181" s="19"/>
      <c r="Y181" s="20"/>
      <c r="Z181" s="20"/>
      <c r="AA181" s="10"/>
      <c r="AB181" s="10"/>
      <c r="AC181" s="15" t="str">
        <f t="shared" si="7"/>
        <v/>
      </c>
      <c r="AD181" s="15" t="str">
        <f t="shared" si="1"/>
        <v/>
      </c>
      <c r="AE181" s="16" t="str">
        <f t="shared" si="11"/>
        <v/>
      </c>
      <c r="AF181" s="16" t="str">
        <f>IF($E181="","",IF($H181="pdf",IFERROR(IF($X181&gt;=Weights!$B$10,1,0),0),1))</f>
        <v/>
      </c>
      <c r="AG181" s="16" t="str">
        <f t="shared" si="12"/>
        <v/>
      </c>
      <c r="AH181" s="15" t="str">
        <f>IF($E181="","",IFERROR((Weights!$B$2*$O181 + Weights!$B$3*$AE181 + Weights!$B$4*$AD181 + Weights!$B$5*(1-$AC181) + Weights!$B$6*$AF181 + Weights!$B$7*$AG181)/SUM(Weights!$B$2:$B$7),"" ))</f>
        <v/>
      </c>
      <c r="AI181" s="15" t="str">
        <f>IF($E181="","",IF($O181=0,0,IFERROR($AH181/MAX(Weights!$B$8,$Y181)/MAX(Weights!$B$9,IF($Z181="",0,$Z181)), "")))</f>
        <v/>
      </c>
      <c r="AJ181" s="17"/>
    </row>
    <row r="182" ht="15.75" customHeight="1">
      <c r="A182" s="10"/>
      <c r="B182" s="39"/>
      <c r="C182" s="10"/>
      <c r="D182" s="10"/>
      <c r="E182" s="10"/>
      <c r="F182" s="10" t="str">
        <f>IF($E182="","",VLOOKUP($E182,Benchmark_URLs!$A$2:$L$46,4,FALSE))</f>
        <v/>
      </c>
      <c r="G182" s="10"/>
      <c r="H182" s="10" t="str">
        <f>IF($E182="","",VLOOKUP($E182,Benchmark_URLs!$A$2:$L$46,6,FALSE))</f>
        <v/>
      </c>
      <c r="I182" s="10" t="str">
        <f>IF($E182="","",VLOOKUP($E182,Benchmark_URLs!$A$2:$L$46,7,FALSE))</f>
        <v/>
      </c>
      <c r="J182" s="10" t="str">
        <f>IF($E182="","",VLOOKUP($E182,Benchmark_URLs!$A$2:$L$46,8,FALSE))</f>
        <v/>
      </c>
      <c r="K182" s="10" t="str">
        <f>IF($E182="","",VLOOKUP($E182,Benchmark_URLs!$A$2:$L$46,9,FALSE))</f>
        <v/>
      </c>
      <c r="L182" s="10" t="str">
        <f>IF($E182="","",VLOOKUP($E182,Benchmark_URLs!$A$2:$L$46,10,FALSE))</f>
        <v/>
      </c>
      <c r="M182" s="10" t="str">
        <f>IF($E182="","",VLOOKUP($E182,Benchmark_URLs!$A$2:$L$46,11,FALSE))</f>
        <v/>
      </c>
      <c r="N182" s="16"/>
      <c r="O182" s="16"/>
      <c r="P182" s="16"/>
      <c r="Q182" s="19"/>
      <c r="R182" s="19"/>
      <c r="S182" s="19"/>
      <c r="T182" s="16"/>
      <c r="U182" s="16"/>
      <c r="V182" s="16"/>
      <c r="W182" s="19"/>
      <c r="X182" s="19"/>
      <c r="Y182" s="20"/>
      <c r="Z182" s="20"/>
      <c r="AA182" s="10"/>
      <c r="AB182" s="10"/>
      <c r="AC182" s="15" t="str">
        <f t="shared" si="7"/>
        <v/>
      </c>
      <c r="AD182" s="15" t="str">
        <f t="shared" si="1"/>
        <v/>
      </c>
      <c r="AE182" s="16" t="str">
        <f t="shared" si="11"/>
        <v/>
      </c>
      <c r="AF182" s="16" t="str">
        <f>IF($E182="","",IF($H182="pdf",IFERROR(IF($X182&gt;=Weights!$B$10,1,0),0),1))</f>
        <v/>
      </c>
      <c r="AG182" s="16" t="str">
        <f t="shared" si="12"/>
        <v/>
      </c>
      <c r="AH182" s="15" t="str">
        <f>IF($E182="","",IFERROR((Weights!$B$2*$O182 + Weights!$B$3*$AE182 + Weights!$B$4*$AD182 + Weights!$B$5*(1-$AC182) + Weights!$B$6*$AF182 + Weights!$B$7*$AG182)/SUM(Weights!$B$2:$B$7),"" ))</f>
        <v/>
      </c>
      <c r="AI182" s="15" t="str">
        <f>IF($E182="","",IF($O182=0,0,IFERROR($AH182/MAX(Weights!$B$8,$Y182)/MAX(Weights!$B$9,IF($Z182="",0,$Z182)), "")))</f>
        <v/>
      </c>
      <c r="AJ182" s="17"/>
    </row>
    <row r="183" ht="15.75" customHeight="1">
      <c r="A183" s="10"/>
      <c r="B183" s="39"/>
      <c r="C183" s="10"/>
      <c r="D183" s="10"/>
      <c r="E183" s="10"/>
      <c r="F183" s="10" t="str">
        <f>IF($E183="","",VLOOKUP($E183,Benchmark_URLs!$A$2:$L$46,4,FALSE))</f>
        <v/>
      </c>
      <c r="G183" s="10"/>
      <c r="H183" s="10" t="str">
        <f>IF($E183="","",VLOOKUP($E183,Benchmark_URLs!$A$2:$L$46,6,FALSE))</f>
        <v/>
      </c>
      <c r="I183" s="10" t="str">
        <f>IF($E183="","",VLOOKUP($E183,Benchmark_URLs!$A$2:$L$46,7,FALSE))</f>
        <v/>
      </c>
      <c r="J183" s="10" t="str">
        <f>IF($E183="","",VLOOKUP($E183,Benchmark_URLs!$A$2:$L$46,8,FALSE))</f>
        <v/>
      </c>
      <c r="K183" s="10" t="str">
        <f>IF($E183="","",VLOOKUP($E183,Benchmark_URLs!$A$2:$L$46,9,FALSE))</f>
        <v/>
      </c>
      <c r="L183" s="10" t="str">
        <f>IF($E183="","",VLOOKUP($E183,Benchmark_URLs!$A$2:$L$46,10,FALSE))</f>
        <v/>
      </c>
      <c r="M183" s="10" t="str">
        <f>IF($E183="","",VLOOKUP($E183,Benchmark_URLs!$A$2:$L$46,11,FALSE))</f>
        <v/>
      </c>
      <c r="N183" s="16"/>
      <c r="O183" s="16"/>
      <c r="P183" s="16"/>
      <c r="Q183" s="19"/>
      <c r="R183" s="19"/>
      <c r="S183" s="19"/>
      <c r="T183" s="16"/>
      <c r="U183" s="16"/>
      <c r="V183" s="16"/>
      <c r="W183" s="19"/>
      <c r="X183" s="19"/>
      <c r="Y183" s="20"/>
      <c r="Z183" s="20"/>
      <c r="AA183" s="10"/>
      <c r="AB183" s="10"/>
      <c r="AC183" s="15" t="str">
        <f t="shared" si="7"/>
        <v/>
      </c>
      <c r="AD183" s="15" t="str">
        <f t="shared" si="1"/>
        <v/>
      </c>
      <c r="AE183" s="16" t="str">
        <f t="shared" si="11"/>
        <v/>
      </c>
      <c r="AF183" s="16" t="str">
        <f>IF($E183="","",IF($H183="pdf",IFERROR(IF($X183&gt;=Weights!$B$10,1,0),0),1))</f>
        <v/>
      </c>
      <c r="AG183" s="16" t="str">
        <f t="shared" si="12"/>
        <v/>
      </c>
      <c r="AH183" s="15" t="str">
        <f>IF($E183="","",IFERROR((Weights!$B$2*$O183 + Weights!$B$3*$AE183 + Weights!$B$4*$AD183 + Weights!$B$5*(1-$AC183) + Weights!$B$6*$AF183 + Weights!$B$7*$AG183)/SUM(Weights!$B$2:$B$7),"" ))</f>
        <v/>
      </c>
      <c r="AI183" s="15" t="str">
        <f>IF($E183="","",IF($O183=0,0,IFERROR($AH183/MAX(Weights!$B$8,$Y183)/MAX(Weights!$B$9,IF($Z183="",0,$Z183)), "")))</f>
        <v/>
      </c>
      <c r="AJ183" s="17"/>
    </row>
    <row r="184" ht="15.75" customHeight="1">
      <c r="A184" s="10"/>
      <c r="B184" s="39"/>
      <c r="C184" s="10"/>
      <c r="D184" s="10"/>
      <c r="E184" s="10"/>
      <c r="F184" s="10" t="str">
        <f>IF($E184="","",VLOOKUP($E184,Benchmark_URLs!$A$2:$L$46,4,FALSE))</f>
        <v/>
      </c>
      <c r="G184" s="10"/>
      <c r="H184" s="10" t="str">
        <f>IF($E184="","",VLOOKUP($E184,Benchmark_URLs!$A$2:$L$46,6,FALSE))</f>
        <v/>
      </c>
      <c r="I184" s="10" t="str">
        <f>IF($E184="","",VLOOKUP($E184,Benchmark_URLs!$A$2:$L$46,7,FALSE))</f>
        <v/>
      </c>
      <c r="J184" s="10" t="str">
        <f>IF($E184="","",VLOOKUP($E184,Benchmark_URLs!$A$2:$L$46,8,FALSE))</f>
        <v/>
      </c>
      <c r="K184" s="10" t="str">
        <f>IF($E184="","",VLOOKUP($E184,Benchmark_URLs!$A$2:$L$46,9,FALSE))</f>
        <v/>
      </c>
      <c r="L184" s="10" t="str">
        <f>IF($E184="","",VLOOKUP($E184,Benchmark_URLs!$A$2:$L$46,10,FALSE))</f>
        <v/>
      </c>
      <c r="M184" s="10" t="str">
        <f>IF($E184="","",VLOOKUP($E184,Benchmark_URLs!$A$2:$L$46,11,FALSE))</f>
        <v/>
      </c>
      <c r="N184" s="16"/>
      <c r="O184" s="16"/>
      <c r="P184" s="16"/>
      <c r="Q184" s="19"/>
      <c r="R184" s="19"/>
      <c r="S184" s="19"/>
      <c r="T184" s="16"/>
      <c r="U184" s="16"/>
      <c r="V184" s="16"/>
      <c r="W184" s="19"/>
      <c r="X184" s="19"/>
      <c r="Y184" s="20"/>
      <c r="Z184" s="20"/>
      <c r="AA184" s="10"/>
      <c r="AB184" s="10"/>
      <c r="AC184" s="15" t="str">
        <f t="shared" si="7"/>
        <v/>
      </c>
      <c r="AD184" s="15" t="str">
        <f t="shared" si="1"/>
        <v/>
      </c>
      <c r="AE184" s="16" t="str">
        <f t="shared" si="11"/>
        <v/>
      </c>
      <c r="AF184" s="16" t="str">
        <f>IF($E184="","",IF($H184="pdf",IFERROR(IF($X184&gt;=Weights!$B$10,1,0),0),1))</f>
        <v/>
      </c>
      <c r="AG184" s="16" t="str">
        <f t="shared" si="12"/>
        <v/>
      </c>
      <c r="AH184" s="15" t="str">
        <f>IF($E184="","",IFERROR((Weights!$B$2*$O184 + Weights!$B$3*$AE184 + Weights!$B$4*$AD184 + Weights!$B$5*(1-$AC184) + Weights!$B$6*$AF184 + Weights!$B$7*$AG184)/SUM(Weights!$B$2:$B$7),"" ))</f>
        <v/>
      </c>
      <c r="AI184" s="15" t="str">
        <f>IF($E184="","",IF($O184=0,0,IFERROR($AH184/MAX(Weights!$B$8,$Y184)/MAX(Weights!$B$9,IF($Z184="",0,$Z184)), "")))</f>
        <v/>
      </c>
      <c r="AJ184" s="17"/>
    </row>
    <row r="185" ht="15.75" customHeight="1">
      <c r="A185" s="10"/>
      <c r="B185" s="39"/>
      <c r="C185" s="10"/>
      <c r="D185" s="10"/>
      <c r="E185" s="10"/>
      <c r="F185" s="10" t="str">
        <f>IF($E185="","",VLOOKUP($E185,Benchmark_URLs!$A$2:$L$46,4,FALSE))</f>
        <v/>
      </c>
      <c r="G185" s="10"/>
      <c r="H185" s="10" t="str">
        <f>IF($E185="","",VLOOKUP($E185,Benchmark_URLs!$A$2:$L$46,6,FALSE))</f>
        <v/>
      </c>
      <c r="I185" s="10" t="str">
        <f>IF($E185="","",VLOOKUP($E185,Benchmark_URLs!$A$2:$L$46,7,FALSE))</f>
        <v/>
      </c>
      <c r="J185" s="10" t="str">
        <f>IF($E185="","",VLOOKUP($E185,Benchmark_URLs!$A$2:$L$46,8,FALSE))</f>
        <v/>
      </c>
      <c r="K185" s="10" t="str">
        <f>IF($E185="","",VLOOKUP($E185,Benchmark_URLs!$A$2:$L$46,9,FALSE))</f>
        <v/>
      </c>
      <c r="L185" s="10" t="str">
        <f>IF($E185="","",VLOOKUP($E185,Benchmark_URLs!$A$2:$L$46,10,FALSE))</f>
        <v/>
      </c>
      <c r="M185" s="10" t="str">
        <f>IF($E185="","",VLOOKUP($E185,Benchmark_URLs!$A$2:$L$46,11,FALSE))</f>
        <v/>
      </c>
      <c r="N185" s="16"/>
      <c r="O185" s="16"/>
      <c r="P185" s="16"/>
      <c r="Q185" s="19"/>
      <c r="R185" s="19"/>
      <c r="S185" s="19"/>
      <c r="T185" s="16"/>
      <c r="U185" s="16"/>
      <c r="V185" s="16"/>
      <c r="W185" s="19"/>
      <c r="X185" s="19"/>
      <c r="Y185" s="20"/>
      <c r="Z185" s="20"/>
      <c r="AA185" s="10"/>
      <c r="AB185" s="10"/>
      <c r="AC185" s="15" t="str">
        <f t="shared" si="7"/>
        <v/>
      </c>
      <c r="AD185" s="15" t="str">
        <f t="shared" si="1"/>
        <v/>
      </c>
      <c r="AE185" s="16" t="str">
        <f t="shared" si="11"/>
        <v/>
      </c>
      <c r="AF185" s="16" t="str">
        <f>IF($E185="","",IF($H185="pdf",IFERROR(IF($X185&gt;=Weights!$B$10,1,0),0),1))</f>
        <v/>
      </c>
      <c r="AG185" s="16" t="str">
        <f t="shared" si="12"/>
        <v/>
      </c>
      <c r="AH185" s="15" t="str">
        <f>IF($E185="","",IFERROR((Weights!$B$2*$O185 + Weights!$B$3*$AE185 + Weights!$B$4*$AD185 + Weights!$B$5*(1-$AC185) + Weights!$B$6*$AF185 + Weights!$B$7*$AG185)/SUM(Weights!$B$2:$B$7),"" ))</f>
        <v/>
      </c>
      <c r="AI185" s="15" t="str">
        <f>IF($E185="","",IF($O185=0,0,IFERROR($AH185/MAX(Weights!$B$8,$Y185)/MAX(Weights!$B$9,IF($Z185="",0,$Z185)), "")))</f>
        <v/>
      </c>
      <c r="AJ185" s="17"/>
    </row>
    <row r="186" ht="15.75" customHeight="1">
      <c r="A186" s="10"/>
      <c r="B186" s="39"/>
      <c r="C186" s="10"/>
      <c r="D186" s="10"/>
      <c r="E186" s="10"/>
      <c r="F186" s="10" t="str">
        <f>IF($E186="","",VLOOKUP($E186,Benchmark_URLs!$A$2:$L$46,4,FALSE))</f>
        <v/>
      </c>
      <c r="G186" s="10"/>
      <c r="H186" s="10" t="str">
        <f>IF($E186="","",VLOOKUP($E186,Benchmark_URLs!$A$2:$L$46,6,FALSE))</f>
        <v/>
      </c>
      <c r="I186" s="10" t="str">
        <f>IF($E186="","",VLOOKUP($E186,Benchmark_URLs!$A$2:$L$46,7,FALSE))</f>
        <v/>
      </c>
      <c r="J186" s="10" t="str">
        <f>IF($E186="","",VLOOKUP($E186,Benchmark_URLs!$A$2:$L$46,8,FALSE))</f>
        <v/>
      </c>
      <c r="K186" s="10" t="str">
        <f>IF($E186="","",VLOOKUP($E186,Benchmark_URLs!$A$2:$L$46,9,FALSE))</f>
        <v/>
      </c>
      <c r="L186" s="10" t="str">
        <f>IF($E186="","",VLOOKUP($E186,Benchmark_URLs!$A$2:$L$46,10,FALSE))</f>
        <v/>
      </c>
      <c r="M186" s="10" t="str">
        <f>IF($E186="","",VLOOKUP($E186,Benchmark_URLs!$A$2:$L$46,11,FALSE))</f>
        <v/>
      </c>
      <c r="N186" s="16"/>
      <c r="O186" s="16"/>
      <c r="P186" s="16"/>
      <c r="Q186" s="19"/>
      <c r="R186" s="19"/>
      <c r="S186" s="19"/>
      <c r="T186" s="16"/>
      <c r="U186" s="16"/>
      <c r="V186" s="16"/>
      <c r="W186" s="19"/>
      <c r="X186" s="19"/>
      <c r="Y186" s="20"/>
      <c r="Z186" s="20"/>
      <c r="AA186" s="10"/>
      <c r="AB186" s="10"/>
      <c r="AC186" s="15" t="str">
        <f t="shared" si="7"/>
        <v/>
      </c>
      <c r="AD186" s="15" t="str">
        <f t="shared" si="1"/>
        <v/>
      </c>
      <c r="AE186" s="16" t="str">
        <f t="shared" si="11"/>
        <v/>
      </c>
      <c r="AF186" s="16" t="str">
        <f>IF($E186="","",IF($H186="pdf",IFERROR(IF($X186&gt;=Weights!$B$10,1,0),0),1))</f>
        <v/>
      </c>
      <c r="AG186" s="16" t="str">
        <f t="shared" si="12"/>
        <v/>
      </c>
      <c r="AH186" s="15" t="str">
        <f>IF($E186="","",IFERROR((Weights!$B$2*$O186 + Weights!$B$3*$AE186 + Weights!$B$4*$AD186 + Weights!$B$5*(1-$AC186) + Weights!$B$6*$AF186 + Weights!$B$7*$AG186)/SUM(Weights!$B$2:$B$7),"" ))</f>
        <v/>
      </c>
      <c r="AI186" s="15" t="str">
        <f>IF($E186="","",IF($O186=0,0,IFERROR($AH186/MAX(Weights!$B$8,$Y186)/MAX(Weights!$B$9,IF($Z186="",0,$Z186)), "")))</f>
        <v/>
      </c>
      <c r="AJ186" s="17"/>
    </row>
    <row r="187" ht="15.75" customHeight="1">
      <c r="A187" s="10"/>
      <c r="B187" s="39"/>
      <c r="C187" s="10"/>
      <c r="D187" s="10"/>
      <c r="E187" s="10"/>
      <c r="F187" s="10" t="str">
        <f>IF($E187="","",VLOOKUP($E187,Benchmark_URLs!$A$2:$L$46,4,FALSE))</f>
        <v/>
      </c>
      <c r="G187" s="10"/>
      <c r="H187" s="10" t="str">
        <f>IF($E187="","",VLOOKUP($E187,Benchmark_URLs!$A$2:$L$46,6,FALSE))</f>
        <v/>
      </c>
      <c r="I187" s="10" t="str">
        <f>IF($E187="","",VLOOKUP($E187,Benchmark_URLs!$A$2:$L$46,7,FALSE))</f>
        <v/>
      </c>
      <c r="J187" s="10" t="str">
        <f>IF($E187="","",VLOOKUP($E187,Benchmark_URLs!$A$2:$L$46,8,FALSE))</f>
        <v/>
      </c>
      <c r="K187" s="10" t="str">
        <f>IF($E187="","",VLOOKUP($E187,Benchmark_URLs!$A$2:$L$46,9,FALSE))</f>
        <v/>
      </c>
      <c r="L187" s="10" t="str">
        <f>IF($E187="","",VLOOKUP($E187,Benchmark_URLs!$A$2:$L$46,10,FALSE))</f>
        <v/>
      </c>
      <c r="M187" s="10" t="str">
        <f>IF($E187="","",VLOOKUP($E187,Benchmark_URLs!$A$2:$L$46,11,FALSE))</f>
        <v/>
      </c>
      <c r="N187" s="16"/>
      <c r="O187" s="16"/>
      <c r="P187" s="16"/>
      <c r="Q187" s="19"/>
      <c r="R187" s="19"/>
      <c r="S187" s="19"/>
      <c r="T187" s="16"/>
      <c r="U187" s="16"/>
      <c r="V187" s="16"/>
      <c r="W187" s="19"/>
      <c r="X187" s="19"/>
      <c r="Y187" s="20"/>
      <c r="Z187" s="20"/>
      <c r="AA187" s="10"/>
      <c r="AB187" s="10"/>
      <c r="AC187" s="15" t="str">
        <f t="shared" si="7"/>
        <v/>
      </c>
      <c r="AD187" s="15" t="str">
        <f t="shared" si="1"/>
        <v/>
      </c>
      <c r="AE187" s="16" t="str">
        <f t="shared" si="11"/>
        <v/>
      </c>
      <c r="AF187" s="16" t="str">
        <f>IF($E187="","",IF($H187="pdf",IFERROR(IF($X187&gt;=Weights!$B$10,1,0),0),1))</f>
        <v/>
      </c>
      <c r="AG187" s="16" t="str">
        <f t="shared" si="12"/>
        <v/>
      </c>
      <c r="AH187" s="15" t="str">
        <f>IF($E187="","",IFERROR((Weights!$B$2*$O187 + Weights!$B$3*$AE187 + Weights!$B$4*$AD187 + Weights!$B$5*(1-$AC187) + Weights!$B$6*$AF187 + Weights!$B$7*$AG187)/SUM(Weights!$B$2:$B$7),"" ))</f>
        <v/>
      </c>
      <c r="AI187" s="15" t="str">
        <f>IF($E187="","",IF($O187=0,0,IFERROR($AH187/MAX(Weights!$B$8,$Y187)/MAX(Weights!$B$9,IF($Z187="",0,$Z187)), "")))</f>
        <v/>
      </c>
      <c r="AJ187" s="17"/>
    </row>
    <row r="188" ht="15.75" customHeight="1">
      <c r="A188" s="10"/>
      <c r="B188" s="39"/>
      <c r="C188" s="10"/>
      <c r="D188" s="10"/>
      <c r="E188" s="10"/>
      <c r="F188" s="10" t="str">
        <f>IF($E188="","",VLOOKUP($E188,Benchmark_URLs!$A$2:$L$46,4,FALSE))</f>
        <v/>
      </c>
      <c r="G188" s="10"/>
      <c r="H188" s="10" t="str">
        <f>IF($E188="","",VLOOKUP($E188,Benchmark_URLs!$A$2:$L$46,6,FALSE))</f>
        <v/>
      </c>
      <c r="I188" s="10" t="str">
        <f>IF($E188="","",VLOOKUP($E188,Benchmark_URLs!$A$2:$L$46,7,FALSE))</f>
        <v/>
      </c>
      <c r="J188" s="10" t="str">
        <f>IF($E188="","",VLOOKUP($E188,Benchmark_URLs!$A$2:$L$46,8,FALSE))</f>
        <v/>
      </c>
      <c r="K188" s="10" t="str">
        <f>IF($E188="","",VLOOKUP($E188,Benchmark_URLs!$A$2:$L$46,9,FALSE))</f>
        <v/>
      </c>
      <c r="L188" s="10" t="str">
        <f>IF($E188="","",VLOOKUP($E188,Benchmark_URLs!$A$2:$L$46,10,FALSE))</f>
        <v/>
      </c>
      <c r="M188" s="10" t="str">
        <f>IF($E188="","",VLOOKUP($E188,Benchmark_URLs!$A$2:$L$46,11,FALSE))</f>
        <v/>
      </c>
      <c r="N188" s="16"/>
      <c r="O188" s="16"/>
      <c r="P188" s="16"/>
      <c r="Q188" s="19"/>
      <c r="R188" s="19"/>
      <c r="S188" s="19"/>
      <c r="T188" s="16"/>
      <c r="U188" s="16"/>
      <c r="V188" s="16"/>
      <c r="W188" s="19"/>
      <c r="X188" s="19"/>
      <c r="Y188" s="20"/>
      <c r="Z188" s="20"/>
      <c r="AA188" s="10"/>
      <c r="AB188" s="10"/>
      <c r="AC188" s="15" t="str">
        <f t="shared" si="7"/>
        <v/>
      </c>
      <c r="AD188" s="15" t="str">
        <f t="shared" si="1"/>
        <v/>
      </c>
      <c r="AE188" s="16" t="str">
        <f t="shared" si="11"/>
        <v/>
      </c>
      <c r="AF188" s="16" t="str">
        <f>IF($E188="","",IF($H188="pdf",IFERROR(IF($X188&gt;=Weights!$B$10,1,0),0),1))</f>
        <v/>
      </c>
      <c r="AG188" s="16" t="str">
        <f t="shared" si="12"/>
        <v/>
      </c>
      <c r="AH188" s="15" t="str">
        <f>IF($E188="","",IFERROR((Weights!$B$2*$O188 + Weights!$B$3*$AE188 + Weights!$B$4*$AD188 + Weights!$B$5*(1-$AC188) + Weights!$B$6*$AF188 + Weights!$B$7*$AG188)/SUM(Weights!$B$2:$B$7),"" ))</f>
        <v/>
      </c>
      <c r="AI188" s="15" t="str">
        <f>IF($E188="","",IF($O188=0,0,IFERROR($AH188/MAX(Weights!$B$8,$Y188)/MAX(Weights!$B$9,IF($Z188="",0,$Z188)), "")))</f>
        <v/>
      </c>
      <c r="AJ188" s="17"/>
    </row>
    <row r="189" ht="15.75" customHeight="1">
      <c r="A189" s="10"/>
      <c r="B189" s="39"/>
      <c r="C189" s="10"/>
      <c r="D189" s="10"/>
      <c r="E189" s="10"/>
      <c r="F189" s="10" t="str">
        <f>IF($E189="","",VLOOKUP($E189,Benchmark_URLs!$A$2:$L$46,4,FALSE))</f>
        <v/>
      </c>
      <c r="G189" s="10"/>
      <c r="H189" s="10" t="str">
        <f>IF($E189="","",VLOOKUP($E189,Benchmark_URLs!$A$2:$L$46,6,FALSE))</f>
        <v/>
      </c>
      <c r="I189" s="10" t="str">
        <f>IF($E189="","",VLOOKUP($E189,Benchmark_URLs!$A$2:$L$46,7,FALSE))</f>
        <v/>
      </c>
      <c r="J189" s="10" t="str">
        <f>IF($E189="","",VLOOKUP($E189,Benchmark_URLs!$A$2:$L$46,8,FALSE))</f>
        <v/>
      </c>
      <c r="K189" s="10" t="str">
        <f>IF($E189="","",VLOOKUP($E189,Benchmark_URLs!$A$2:$L$46,9,FALSE))</f>
        <v/>
      </c>
      <c r="L189" s="10" t="str">
        <f>IF($E189="","",VLOOKUP($E189,Benchmark_URLs!$A$2:$L$46,10,FALSE))</f>
        <v/>
      </c>
      <c r="M189" s="10" t="str">
        <f>IF($E189="","",VLOOKUP($E189,Benchmark_URLs!$A$2:$L$46,11,FALSE))</f>
        <v/>
      </c>
      <c r="N189" s="16"/>
      <c r="O189" s="16"/>
      <c r="P189" s="16"/>
      <c r="Q189" s="19"/>
      <c r="R189" s="19"/>
      <c r="S189" s="19"/>
      <c r="T189" s="16"/>
      <c r="U189" s="16"/>
      <c r="V189" s="16"/>
      <c r="W189" s="19"/>
      <c r="X189" s="19"/>
      <c r="Y189" s="20"/>
      <c r="Z189" s="20"/>
      <c r="AA189" s="10"/>
      <c r="AB189" s="10"/>
      <c r="AC189" s="15" t="str">
        <f t="shared" si="7"/>
        <v/>
      </c>
      <c r="AD189" s="15" t="str">
        <f t="shared" si="1"/>
        <v/>
      </c>
      <c r="AE189" s="16" t="str">
        <f t="shared" si="11"/>
        <v/>
      </c>
      <c r="AF189" s="16" t="str">
        <f>IF($E189="","",IF($H189="pdf",IFERROR(IF($X189&gt;=Weights!$B$10,1,0),0),1))</f>
        <v/>
      </c>
      <c r="AG189" s="16" t="str">
        <f t="shared" si="12"/>
        <v/>
      </c>
      <c r="AH189" s="15" t="str">
        <f>IF($E189="","",IFERROR((Weights!$B$2*$O189 + Weights!$B$3*$AE189 + Weights!$B$4*$AD189 + Weights!$B$5*(1-$AC189) + Weights!$B$6*$AF189 + Weights!$B$7*$AG189)/SUM(Weights!$B$2:$B$7),"" ))</f>
        <v/>
      </c>
      <c r="AI189" s="15" t="str">
        <f>IF($E189="","",IF($O189=0,0,IFERROR($AH189/MAX(Weights!$B$8,$Y189)/MAX(Weights!$B$9,IF($Z189="",0,$Z189)), "")))</f>
        <v/>
      </c>
      <c r="AJ189" s="17"/>
    </row>
    <row r="190" ht="15.75" customHeight="1">
      <c r="A190" s="10"/>
      <c r="B190" s="39"/>
      <c r="C190" s="10"/>
      <c r="D190" s="10"/>
      <c r="E190" s="10"/>
      <c r="F190" s="10" t="str">
        <f>IF($E190="","",VLOOKUP($E190,Benchmark_URLs!$A$2:$L$46,4,FALSE))</f>
        <v/>
      </c>
      <c r="G190" s="10"/>
      <c r="H190" s="10" t="str">
        <f>IF($E190="","",VLOOKUP($E190,Benchmark_URLs!$A$2:$L$46,6,FALSE))</f>
        <v/>
      </c>
      <c r="I190" s="10" t="str">
        <f>IF($E190="","",VLOOKUP($E190,Benchmark_URLs!$A$2:$L$46,7,FALSE))</f>
        <v/>
      </c>
      <c r="J190" s="10" t="str">
        <f>IF($E190="","",VLOOKUP($E190,Benchmark_URLs!$A$2:$L$46,8,FALSE))</f>
        <v/>
      </c>
      <c r="K190" s="10" t="str">
        <f>IF($E190="","",VLOOKUP($E190,Benchmark_URLs!$A$2:$L$46,9,FALSE))</f>
        <v/>
      </c>
      <c r="L190" s="10" t="str">
        <f>IF($E190="","",VLOOKUP($E190,Benchmark_URLs!$A$2:$L$46,10,FALSE))</f>
        <v/>
      </c>
      <c r="M190" s="10" t="str">
        <f>IF($E190="","",VLOOKUP($E190,Benchmark_URLs!$A$2:$L$46,11,FALSE))</f>
        <v/>
      </c>
      <c r="N190" s="16"/>
      <c r="O190" s="16"/>
      <c r="P190" s="16"/>
      <c r="Q190" s="19"/>
      <c r="R190" s="19"/>
      <c r="S190" s="19"/>
      <c r="T190" s="16"/>
      <c r="U190" s="16"/>
      <c r="V190" s="16"/>
      <c r="W190" s="19"/>
      <c r="X190" s="19"/>
      <c r="Y190" s="20"/>
      <c r="Z190" s="20"/>
      <c r="AA190" s="10"/>
      <c r="AB190" s="10"/>
      <c r="AC190" s="15" t="str">
        <f t="shared" si="7"/>
        <v/>
      </c>
      <c r="AD190" s="15" t="str">
        <f t="shared" si="1"/>
        <v/>
      </c>
      <c r="AE190" s="16" t="str">
        <f t="shared" si="11"/>
        <v/>
      </c>
      <c r="AF190" s="16" t="str">
        <f>IF($E190="","",IF($H190="pdf",IFERROR(IF($X190&gt;=Weights!$B$10,1,0),0),1))</f>
        <v/>
      </c>
      <c r="AG190" s="16" t="str">
        <f t="shared" si="12"/>
        <v/>
      </c>
      <c r="AH190" s="15" t="str">
        <f>IF($E190="","",IFERROR((Weights!$B$2*$O190 + Weights!$B$3*$AE190 + Weights!$B$4*$AD190 + Weights!$B$5*(1-$AC190) + Weights!$B$6*$AF190 + Weights!$B$7*$AG190)/SUM(Weights!$B$2:$B$7),"" ))</f>
        <v/>
      </c>
      <c r="AI190" s="15" t="str">
        <f>IF($E190="","",IF($O190=0,0,IFERROR($AH190/MAX(Weights!$B$8,$Y190)/MAX(Weights!$B$9,IF($Z190="",0,$Z190)), "")))</f>
        <v/>
      </c>
      <c r="AJ190" s="17"/>
    </row>
    <row r="191" ht="15.75" customHeight="1">
      <c r="A191" s="10"/>
      <c r="B191" s="39"/>
      <c r="C191" s="10"/>
      <c r="D191" s="10"/>
      <c r="E191" s="10"/>
      <c r="F191" s="10" t="str">
        <f>IF($E191="","",VLOOKUP($E191,Benchmark_URLs!$A$2:$L$46,4,FALSE))</f>
        <v/>
      </c>
      <c r="G191" s="10"/>
      <c r="H191" s="10" t="str">
        <f>IF($E191="","",VLOOKUP($E191,Benchmark_URLs!$A$2:$L$46,6,FALSE))</f>
        <v/>
      </c>
      <c r="I191" s="10" t="str">
        <f>IF($E191="","",VLOOKUP($E191,Benchmark_URLs!$A$2:$L$46,7,FALSE))</f>
        <v/>
      </c>
      <c r="J191" s="10" t="str">
        <f>IF($E191="","",VLOOKUP($E191,Benchmark_URLs!$A$2:$L$46,8,FALSE))</f>
        <v/>
      </c>
      <c r="K191" s="10" t="str">
        <f>IF($E191="","",VLOOKUP($E191,Benchmark_URLs!$A$2:$L$46,9,FALSE))</f>
        <v/>
      </c>
      <c r="L191" s="10" t="str">
        <f>IF($E191="","",VLOOKUP($E191,Benchmark_URLs!$A$2:$L$46,10,FALSE))</f>
        <v/>
      </c>
      <c r="M191" s="10" t="str">
        <f>IF($E191="","",VLOOKUP($E191,Benchmark_URLs!$A$2:$L$46,11,FALSE))</f>
        <v/>
      </c>
      <c r="N191" s="16"/>
      <c r="O191" s="16"/>
      <c r="P191" s="16"/>
      <c r="Q191" s="19"/>
      <c r="R191" s="19"/>
      <c r="S191" s="19"/>
      <c r="T191" s="16"/>
      <c r="U191" s="16"/>
      <c r="V191" s="16"/>
      <c r="W191" s="19"/>
      <c r="X191" s="19"/>
      <c r="Y191" s="20"/>
      <c r="Z191" s="20"/>
      <c r="AA191" s="10"/>
      <c r="AB191" s="10"/>
      <c r="AC191" s="15" t="str">
        <f t="shared" si="7"/>
        <v/>
      </c>
      <c r="AD191" s="15" t="str">
        <f t="shared" si="1"/>
        <v/>
      </c>
      <c r="AE191" s="16" t="str">
        <f t="shared" si="11"/>
        <v/>
      </c>
      <c r="AF191" s="16" t="str">
        <f>IF($E191="","",IF($H191="pdf",IFERROR(IF($X191&gt;=Weights!$B$10,1,0),0),1))</f>
        <v/>
      </c>
      <c r="AG191" s="16" t="str">
        <f t="shared" si="12"/>
        <v/>
      </c>
      <c r="AH191" s="15" t="str">
        <f>IF($E191="","",IFERROR((Weights!$B$2*$O191 + Weights!$B$3*$AE191 + Weights!$B$4*$AD191 + Weights!$B$5*(1-$AC191) + Weights!$B$6*$AF191 + Weights!$B$7*$AG191)/SUM(Weights!$B$2:$B$7),"" ))</f>
        <v/>
      </c>
      <c r="AI191" s="15" t="str">
        <f>IF($E191="","",IF($O191=0,0,IFERROR($AH191/MAX(Weights!$B$8,$Y191)/MAX(Weights!$B$9,IF($Z191="",0,$Z191)), "")))</f>
        <v/>
      </c>
      <c r="AJ191" s="17"/>
    </row>
    <row r="192" ht="15.75" customHeight="1">
      <c r="A192" s="10"/>
      <c r="B192" s="39"/>
      <c r="C192" s="10"/>
      <c r="D192" s="10"/>
      <c r="E192" s="10"/>
      <c r="F192" s="10" t="str">
        <f>IF($E192="","",VLOOKUP($E192,Benchmark_URLs!$A$2:$L$46,4,FALSE))</f>
        <v/>
      </c>
      <c r="G192" s="10"/>
      <c r="H192" s="10" t="str">
        <f>IF($E192="","",VLOOKUP($E192,Benchmark_URLs!$A$2:$L$46,6,FALSE))</f>
        <v/>
      </c>
      <c r="I192" s="10" t="str">
        <f>IF($E192="","",VLOOKUP($E192,Benchmark_URLs!$A$2:$L$46,7,FALSE))</f>
        <v/>
      </c>
      <c r="J192" s="10" t="str">
        <f>IF($E192="","",VLOOKUP($E192,Benchmark_URLs!$A$2:$L$46,8,FALSE))</f>
        <v/>
      </c>
      <c r="K192" s="10" t="str">
        <f>IF($E192="","",VLOOKUP($E192,Benchmark_URLs!$A$2:$L$46,9,FALSE))</f>
        <v/>
      </c>
      <c r="L192" s="10" t="str">
        <f>IF($E192="","",VLOOKUP($E192,Benchmark_URLs!$A$2:$L$46,10,FALSE))</f>
        <v/>
      </c>
      <c r="M192" s="10" t="str">
        <f>IF($E192="","",VLOOKUP($E192,Benchmark_URLs!$A$2:$L$46,11,FALSE))</f>
        <v/>
      </c>
      <c r="N192" s="16"/>
      <c r="O192" s="16"/>
      <c r="P192" s="16"/>
      <c r="Q192" s="19"/>
      <c r="R192" s="19"/>
      <c r="S192" s="19"/>
      <c r="T192" s="16"/>
      <c r="U192" s="16"/>
      <c r="V192" s="16"/>
      <c r="W192" s="19"/>
      <c r="X192" s="19"/>
      <c r="Y192" s="20"/>
      <c r="Z192" s="20"/>
      <c r="AA192" s="10"/>
      <c r="AB192" s="10"/>
      <c r="AC192" s="15" t="str">
        <f t="shared" si="7"/>
        <v/>
      </c>
      <c r="AD192" s="15" t="str">
        <f t="shared" si="1"/>
        <v/>
      </c>
      <c r="AE192" s="16" t="str">
        <f t="shared" si="11"/>
        <v/>
      </c>
      <c r="AF192" s="16" t="str">
        <f>IF($E192="","",IF($H192="pdf",IFERROR(IF($X192&gt;=Weights!$B$10,1,0),0),1))</f>
        <v/>
      </c>
      <c r="AG192" s="16" t="str">
        <f t="shared" si="12"/>
        <v/>
      </c>
      <c r="AH192" s="15" t="str">
        <f>IF($E192="","",IFERROR((Weights!$B$2*$O192 + Weights!$B$3*$AE192 + Weights!$B$4*$AD192 + Weights!$B$5*(1-$AC192) + Weights!$B$6*$AF192 + Weights!$B$7*$AG192)/SUM(Weights!$B$2:$B$7),"" ))</f>
        <v/>
      </c>
      <c r="AI192" s="15" t="str">
        <f>IF($E192="","",IF($O192=0,0,IFERROR($AH192/MAX(Weights!$B$8,$Y192)/MAX(Weights!$B$9,IF($Z192="",0,$Z192)), "")))</f>
        <v/>
      </c>
      <c r="AJ192" s="17"/>
    </row>
    <row r="193" ht="15.75" customHeight="1">
      <c r="A193" s="10"/>
      <c r="B193" s="39"/>
      <c r="C193" s="10"/>
      <c r="D193" s="10"/>
      <c r="E193" s="10"/>
      <c r="F193" s="10" t="str">
        <f>IF($E193="","",VLOOKUP($E193,Benchmark_URLs!$A$2:$L$46,4,FALSE))</f>
        <v/>
      </c>
      <c r="G193" s="10"/>
      <c r="H193" s="10" t="str">
        <f>IF($E193="","",VLOOKUP($E193,Benchmark_URLs!$A$2:$L$46,6,FALSE))</f>
        <v/>
      </c>
      <c r="I193" s="10" t="str">
        <f>IF($E193="","",VLOOKUP($E193,Benchmark_URLs!$A$2:$L$46,7,FALSE))</f>
        <v/>
      </c>
      <c r="J193" s="10" t="str">
        <f>IF($E193="","",VLOOKUP($E193,Benchmark_URLs!$A$2:$L$46,8,FALSE))</f>
        <v/>
      </c>
      <c r="K193" s="10" t="str">
        <f>IF($E193="","",VLOOKUP($E193,Benchmark_URLs!$A$2:$L$46,9,FALSE))</f>
        <v/>
      </c>
      <c r="L193" s="10" t="str">
        <f>IF($E193="","",VLOOKUP($E193,Benchmark_URLs!$A$2:$L$46,10,FALSE))</f>
        <v/>
      </c>
      <c r="M193" s="10" t="str">
        <f>IF($E193="","",VLOOKUP($E193,Benchmark_URLs!$A$2:$L$46,11,FALSE))</f>
        <v/>
      </c>
      <c r="N193" s="16"/>
      <c r="O193" s="16"/>
      <c r="P193" s="16"/>
      <c r="Q193" s="19"/>
      <c r="R193" s="19"/>
      <c r="S193" s="19"/>
      <c r="T193" s="16"/>
      <c r="U193" s="16"/>
      <c r="V193" s="16"/>
      <c r="W193" s="19"/>
      <c r="X193" s="19"/>
      <c r="Y193" s="20"/>
      <c r="Z193" s="20"/>
      <c r="AA193" s="10"/>
      <c r="AB193" s="10"/>
      <c r="AC193" s="15" t="str">
        <f t="shared" si="7"/>
        <v/>
      </c>
      <c r="AD193" s="15" t="str">
        <f t="shared" si="1"/>
        <v/>
      </c>
      <c r="AE193" s="16" t="str">
        <f t="shared" si="11"/>
        <v/>
      </c>
      <c r="AF193" s="16" t="str">
        <f>IF($E193="","",IF($H193="pdf",IFERROR(IF($X193&gt;=Weights!$B$10,1,0),0),1))</f>
        <v/>
      </c>
      <c r="AG193" s="16" t="str">
        <f t="shared" si="12"/>
        <v/>
      </c>
      <c r="AH193" s="15" t="str">
        <f>IF($E193="","",IFERROR((Weights!$B$2*$O193 + Weights!$B$3*$AE193 + Weights!$B$4*$AD193 + Weights!$B$5*(1-$AC193) + Weights!$B$6*$AF193 + Weights!$B$7*$AG193)/SUM(Weights!$B$2:$B$7),"" ))</f>
        <v/>
      </c>
      <c r="AI193" s="15" t="str">
        <f>IF($E193="","",IF($O193=0,0,IFERROR($AH193/MAX(Weights!$B$8,$Y193)/MAX(Weights!$B$9,IF($Z193="",0,$Z193)), "")))</f>
        <v/>
      </c>
      <c r="AJ193" s="17"/>
    </row>
    <row r="194" ht="15.75" customHeight="1">
      <c r="A194" s="10"/>
      <c r="B194" s="39"/>
      <c r="C194" s="10"/>
      <c r="D194" s="10"/>
      <c r="E194" s="10"/>
      <c r="F194" s="10" t="str">
        <f>IF($E194="","",VLOOKUP($E194,Benchmark_URLs!$A$2:$L$46,4,FALSE))</f>
        <v/>
      </c>
      <c r="G194" s="10"/>
      <c r="H194" s="10" t="str">
        <f>IF($E194="","",VLOOKUP($E194,Benchmark_URLs!$A$2:$L$46,6,FALSE))</f>
        <v/>
      </c>
      <c r="I194" s="10" t="str">
        <f>IF($E194="","",VLOOKUP($E194,Benchmark_URLs!$A$2:$L$46,7,FALSE))</f>
        <v/>
      </c>
      <c r="J194" s="10" t="str">
        <f>IF($E194="","",VLOOKUP($E194,Benchmark_URLs!$A$2:$L$46,8,FALSE))</f>
        <v/>
      </c>
      <c r="K194" s="10" t="str">
        <f>IF($E194="","",VLOOKUP($E194,Benchmark_URLs!$A$2:$L$46,9,FALSE))</f>
        <v/>
      </c>
      <c r="L194" s="10" t="str">
        <f>IF($E194="","",VLOOKUP($E194,Benchmark_URLs!$A$2:$L$46,10,FALSE))</f>
        <v/>
      </c>
      <c r="M194" s="10" t="str">
        <f>IF($E194="","",VLOOKUP($E194,Benchmark_URLs!$A$2:$L$46,11,FALSE))</f>
        <v/>
      </c>
      <c r="N194" s="16"/>
      <c r="O194" s="16"/>
      <c r="P194" s="16"/>
      <c r="Q194" s="19"/>
      <c r="R194" s="19"/>
      <c r="S194" s="19"/>
      <c r="T194" s="16"/>
      <c r="U194" s="16"/>
      <c r="V194" s="16"/>
      <c r="W194" s="19"/>
      <c r="X194" s="19"/>
      <c r="Y194" s="20"/>
      <c r="Z194" s="20"/>
      <c r="AA194" s="10"/>
      <c r="AB194" s="10"/>
      <c r="AC194" s="15" t="str">
        <f t="shared" si="7"/>
        <v/>
      </c>
      <c r="AD194" s="15" t="str">
        <f t="shared" si="1"/>
        <v/>
      </c>
      <c r="AE194" s="16" t="str">
        <f t="shared" si="11"/>
        <v/>
      </c>
      <c r="AF194" s="16" t="str">
        <f>IF($E194="","",IF($H194="pdf",IFERROR(IF($X194&gt;=Weights!$B$10,1,0),0),1))</f>
        <v/>
      </c>
      <c r="AG194" s="16" t="str">
        <f t="shared" si="12"/>
        <v/>
      </c>
      <c r="AH194" s="15" t="str">
        <f>IF($E194="","",IFERROR((Weights!$B$2*$O194 + Weights!$B$3*$AE194 + Weights!$B$4*$AD194 + Weights!$B$5*(1-$AC194) + Weights!$B$6*$AF194 + Weights!$B$7*$AG194)/SUM(Weights!$B$2:$B$7),"" ))</f>
        <v/>
      </c>
      <c r="AI194" s="15" t="str">
        <f>IF($E194="","",IF($O194=0,0,IFERROR($AH194/MAX(Weights!$B$8,$Y194)/MAX(Weights!$B$9,IF($Z194="",0,$Z194)), "")))</f>
        <v/>
      </c>
      <c r="AJ194" s="17"/>
    </row>
    <row r="195" ht="15.75" customHeight="1">
      <c r="A195" s="10"/>
      <c r="B195" s="39"/>
      <c r="C195" s="10"/>
      <c r="D195" s="10"/>
      <c r="E195" s="10"/>
      <c r="F195" s="10" t="str">
        <f>IF($E195="","",VLOOKUP($E195,Benchmark_URLs!$A$2:$L$46,4,FALSE))</f>
        <v/>
      </c>
      <c r="G195" s="10"/>
      <c r="H195" s="10" t="str">
        <f>IF($E195="","",VLOOKUP($E195,Benchmark_URLs!$A$2:$L$46,6,FALSE))</f>
        <v/>
      </c>
      <c r="I195" s="10" t="str">
        <f>IF($E195="","",VLOOKUP($E195,Benchmark_URLs!$A$2:$L$46,7,FALSE))</f>
        <v/>
      </c>
      <c r="J195" s="10" t="str">
        <f>IF($E195="","",VLOOKUP($E195,Benchmark_URLs!$A$2:$L$46,8,FALSE))</f>
        <v/>
      </c>
      <c r="K195" s="10" t="str">
        <f>IF($E195="","",VLOOKUP($E195,Benchmark_URLs!$A$2:$L$46,9,FALSE))</f>
        <v/>
      </c>
      <c r="L195" s="10" t="str">
        <f>IF($E195="","",VLOOKUP($E195,Benchmark_URLs!$A$2:$L$46,10,FALSE))</f>
        <v/>
      </c>
      <c r="M195" s="10" t="str">
        <f>IF($E195="","",VLOOKUP($E195,Benchmark_URLs!$A$2:$L$46,11,FALSE))</f>
        <v/>
      </c>
      <c r="N195" s="16"/>
      <c r="O195" s="16"/>
      <c r="P195" s="16"/>
      <c r="Q195" s="19"/>
      <c r="R195" s="19"/>
      <c r="S195" s="19"/>
      <c r="T195" s="16"/>
      <c r="U195" s="16"/>
      <c r="V195" s="16"/>
      <c r="W195" s="19"/>
      <c r="X195" s="19"/>
      <c r="Y195" s="20"/>
      <c r="Z195" s="20"/>
      <c r="AA195" s="10"/>
      <c r="AB195" s="10"/>
      <c r="AC195" s="15" t="str">
        <f t="shared" si="7"/>
        <v/>
      </c>
      <c r="AD195" s="15" t="str">
        <f t="shared" si="1"/>
        <v/>
      </c>
      <c r="AE195" s="16" t="str">
        <f t="shared" si="11"/>
        <v/>
      </c>
      <c r="AF195" s="16" t="str">
        <f>IF($E195="","",IF($H195="pdf",IFERROR(IF($X195&gt;=Weights!$B$10,1,0),0),1))</f>
        <v/>
      </c>
      <c r="AG195" s="16" t="str">
        <f t="shared" si="12"/>
        <v/>
      </c>
      <c r="AH195" s="15" t="str">
        <f>IF($E195="","",IFERROR((Weights!$B$2*$O195 + Weights!$B$3*$AE195 + Weights!$B$4*$AD195 + Weights!$B$5*(1-$AC195) + Weights!$B$6*$AF195 + Weights!$B$7*$AG195)/SUM(Weights!$B$2:$B$7),"" ))</f>
        <v/>
      </c>
      <c r="AI195" s="15" t="str">
        <f>IF($E195="","",IF($O195=0,0,IFERROR($AH195/MAX(Weights!$B$8,$Y195)/MAX(Weights!$B$9,IF($Z195="",0,$Z195)), "")))</f>
        <v/>
      </c>
      <c r="AJ195" s="17"/>
    </row>
    <row r="196" ht="15.75" customHeight="1">
      <c r="A196" s="10"/>
      <c r="B196" s="39"/>
      <c r="C196" s="10"/>
      <c r="D196" s="10"/>
      <c r="E196" s="10"/>
      <c r="F196" s="10" t="str">
        <f>IF($E196="","",VLOOKUP($E196,Benchmark_URLs!$A$2:$L$46,4,FALSE))</f>
        <v/>
      </c>
      <c r="G196" s="10"/>
      <c r="H196" s="10" t="str">
        <f>IF($E196="","",VLOOKUP($E196,Benchmark_URLs!$A$2:$L$46,6,FALSE))</f>
        <v/>
      </c>
      <c r="I196" s="10" t="str">
        <f>IF($E196="","",VLOOKUP($E196,Benchmark_URLs!$A$2:$L$46,7,FALSE))</f>
        <v/>
      </c>
      <c r="J196" s="10" t="str">
        <f>IF($E196="","",VLOOKUP($E196,Benchmark_URLs!$A$2:$L$46,8,FALSE))</f>
        <v/>
      </c>
      <c r="K196" s="10" t="str">
        <f>IF($E196="","",VLOOKUP($E196,Benchmark_URLs!$A$2:$L$46,9,FALSE))</f>
        <v/>
      </c>
      <c r="L196" s="10" t="str">
        <f>IF($E196="","",VLOOKUP($E196,Benchmark_URLs!$A$2:$L$46,10,FALSE))</f>
        <v/>
      </c>
      <c r="M196" s="10" t="str">
        <f>IF($E196="","",VLOOKUP($E196,Benchmark_URLs!$A$2:$L$46,11,FALSE))</f>
        <v/>
      </c>
      <c r="N196" s="16"/>
      <c r="O196" s="16"/>
      <c r="P196" s="16"/>
      <c r="Q196" s="19"/>
      <c r="R196" s="19"/>
      <c r="S196" s="19"/>
      <c r="T196" s="16"/>
      <c r="U196" s="16"/>
      <c r="V196" s="16"/>
      <c r="W196" s="19"/>
      <c r="X196" s="19"/>
      <c r="Y196" s="20"/>
      <c r="Z196" s="20"/>
      <c r="AA196" s="10"/>
      <c r="AB196" s="10"/>
      <c r="AC196" s="15" t="str">
        <f t="shared" si="7"/>
        <v/>
      </c>
      <c r="AD196" s="15" t="str">
        <f t="shared" si="1"/>
        <v/>
      </c>
      <c r="AE196" s="16" t="str">
        <f t="shared" si="11"/>
        <v/>
      </c>
      <c r="AF196" s="16" t="str">
        <f>IF($E196="","",IF($H196="pdf",IFERROR(IF($X196&gt;=Weights!$B$10,1,0),0),1))</f>
        <v/>
      </c>
      <c r="AG196" s="16" t="str">
        <f t="shared" si="12"/>
        <v/>
      </c>
      <c r="AH196" s="15" t="str">
        <f>IF($E196="","",IFERROR((Weights!$B$2*$O196 + Weights!$B$3*$AE196 + Weights!$B$4*$AD196 + Weights!$B$5*(1-$AC196) + Weights!$B$6*$AF196 + Weights!$B$7*$AG196)/SUM(Weights!$B$2:$B$7),"" ))</f>
        <v/>
      </c>
      <c r="AI196" s="15" t="str">
        <f>IF($E196="","",IF($O196=0,0,IFERROR($AH196/MAX(Weights!$B$8,$Y196)/MAX(Weights!$B$9,IF($Z196="",0,$Z196)), "")))</f>
        <v/>
      </c>
      <c r="AJ196" s="17"/>
    </row>
    <row r="197" ht="15.75" customHeight="1">
      <c r="A197" s="10"/>
      <c r="B197" s="39"/>
      <c r="C197" s="10"/>
      <c r="D197" s="10"/>
      <c r="E197" s="10"/>
      <c r="F197" s="10" t="str">
        <f>IF($E197="","",VLOOKUP($E197,Benchmark_URLs!$A$2:$L$46,4,FALSE))</f>
        <v/>
      </c>
      <c r="G197" s="10"/>
      <c r="H197" s="10" t="str">
        <f>IF($E197="","",VLOOKUP($E197,Benchmark_URLs!$A$2:$L$46,6,FALSE))</f>
        <v/>
      </c>
      <c r="I197" s="10" t="str">
        <f>IF($E197="","",VLOOKUP($E197,Benchmark_URLs!$A$2:$L$46,7,FALSE))</f>
        <v/>
      </c>
      <c r="J197" s="10" t="str">
        <f>IF($E197="","",VLOOKUP($E197,Benchmark_URLs!$A$2:$L$46,8,FALSE))</f>
        <v/>
      </c>
      <c r="K197" s="10" t="str">
        <f>IF($E197="","",VLOOKUP($E197,Benchmark_URLs!$A$2:$L$46,9,FALSE))</f>
        <v/>
      </c>
      <c r="L197" s="10" t="str">
        <f>IF($E197="","",VLOOKUP($E197,Benchmark_URLs!$A$2:$L$46,10,FALSE))</f>
        <v/>
      </c>
      <c r="M197" s="10" t="str">
        <f>IF($E197="","",VLOOKUP($E197,Benchmark_URLs!$A$2:$L$46,11,FALSE))</f>
        <v/>
      </c>
      <c r="N197" s="16"/>
      <c r="O197" s="16"/>
      <c r="P197" s="16"/>
      <c r="Q197" s="19"/>
      <c r="R197" s="19"/>
      <c r="S197" s="19"/>
      <c r="T197" s="16"/>
      <c r="U197" s="16"/>
      <c r="V197" s="16"/>
      <c r="W197" s="19"/>
      <c r="X197" s="19"/>
      <c r="Y197" s="20"/>
      <c r="Z197" s="20"/>
      <c r="AA197" s="10"/>
      <c r="AB197" s="10"/>
      <c r="AC197" s="15" t="str">
        <f t="shared" si="7"/>
        <v/>
      </c>
      <c r="AD197" s="15" t="str">
        <f t="shared" si="1"/>
        <v/>
      </c>
      <c r="AE197" s="16" t="str">
        <f t="shared" si="11"/>
        <v/>
      </c>
      <c r="AF197" s="16" t="str">
        <f>IF($E197="","",IF($H197="pdf",IFERROR(IF($X197&gt;=Weights!$B$10,1,0),0),1))</f>
        <v/>
      </c>
      <c r="AG197" s="16" t="str">
        <f t="shared" si="12"/>
        <v/>
      </c>
      <c r="AH197" s="15" t="str">
        <f>IF($E197="","",IFERROR((Weights!$B$2*$O197 + Weights!$B$3*$AE197 + Weights!$B$4*$AD197 + Weights!$B$5*(1-$AC197) + Weights!$B$6*$AF197 + Weights!$B$7*$AG197)/SUM(Weights!$B$2:$B$7),"" ))</f>
        <v/>
      </c>
      <c r="AI197" s="15" t="str">
        <f>IF($E197="","",IF($O197=0,0,IFERROR($AH197/MAX(Weights!$B$8,$Y197)/MAX(Weights!$B$9,IF($Z197="",0,$Z197)), "")))</f>
        <v/>
      </c>
      <c r="AJ197" s="17"/>
    </row>
    <row r="198" ht="15.75" customHeight="1">
      <c r="A198" s="10"/>
      <c r="B198" s="39"/>
      <c r="C198" s="10"/>
      <c r="D198" s="10"/>
      <c r="E198" s="10"/>
      <c r="F198" s="10" t="str">
        <f>IF($E198="","",VLOOKUP($E198,Benchmark_URLs!$A$2:$L$46,4,FALSE))</f>
        <v/>
      </c>
      <c r="G198" s="10"/>
      <c r="H198" s="10" t="str">
        <f>IF($E198="","",VLOOKUP($E198,Benchmark_URLs!$A$2:$L$46,6,FALSE))</f>
        <v/>
      </c>
      <c r="I198" s="10" t="str">
        <f>IF($E198="","",VLOOKUP($E198,Benchmark_URLs!$A$2:$L$46,7,FALSE))</f>
        <v/>
      </c>
      <c r="J198" s="10" t="str">
        <f>IF($E198="","",VLOOKUP($E198,Benchmark_URLs!$A$2:$L$46,8,FALSE))</f>
        <v/>
      </c>
      <c r="K198" s="10" t="str">
        <f>IF($E198="","",VLOOKUP($E198,Benchmark_URLs!$A$2:$L$46,9,FALSE))</f>
        <v/>
      </c>
      <c r="L198" s="10" t="str">
        <f>IF($E198="","",VLOOKUP($E198,Benchmark_URLs!$A$2:$L$46,10,FALSE))</f>
        <v/>
      </c>
      <c r="M198" s="10" t="str">
        <f>IF($E198="","",VLOOKUP($E198,Benchmark_URLs!$A$2:$L$46,11,FALSE))</f>
        <v/>
      </c>
      <c r="N198" s="16"/>
      <c r="O198" s="16"/>
      <c r="P198" s="16"/>
      <c r="Q198" s="19"/>
      <c r="R198" s="19"/>
      <c r="S198" s="19"/>
      <c r="T198" s="16"/>
      <c r="U198" s="16"/>
      <c r="V198" s="16"/>
      <c r="W198" s="19"/>
      <c r="X198" s="19"/>
      <c r="Y198" s="20"/>
      <c r="Z198" s="20"/>
      <c r="AA198" s="10"/>
      <c r="AB198" s="10"/>
      <c r="AC198" s="15" t="str">
        <f t="shared" si="7"/>
        <v/>
      </c>
      <c r="AD198" s="15" t="str">
        <f t="shared" si="1"/>
        <v/>
      </c>
      <c r="AE198" s="16" t="str">
        <f t="shared" si="11"/>
        <v/>
      </c>
      <c r="AF198" s="16" t="str">
        <f>IF($E198="","",IF($H198="pdf",IFERROR(IF($X198&gt;=Weights!$B$10,1,0),0),1))</f>
        <v/>
      </c>
      <c r="AG198" s="16" t="str">
        <f t="shared" si="12"/>
        <v/>
      </c>
      <c r="AH198" s="15" t="str">
        <f>IF($E198="","",IFERROR((Weights!$B$2*$O198 + Weights!$B$3*$AE198 + Weights!$B$4*$AD198 + Weights!$B$5*(1-$AC198) + Weights!$B$6*$AF198 + Weights!$B$7*$AG198)/SUM(Weights!$B$2:$B$7),"" ))</f>
        <v/>
      </c>
      <c r="AI198" s="15" t="str">
        <f>IF($E198="","",IF($O198=0,0,IFERROR($AH198/MAX(Weights!$B$8,$Y198)/MAX(Weights!$B$9,IF($Z198="",0,$Z198)), "")))</f>
        <v/>
      </c>
      <c r="AJ198" s="17"/>
    </row>
    <row r="199" ht="15.75" customHeight="1">
      <c r="A199" s="10"/>
      <c r="B199" s="39"/>
      <c r="C199" s="10"/>
      <c r="D199" s="10"/>
      <c r="E199" s="10"/>
      <c r="F199" s="10" t="str">
        <f>IF($E199="","",VLOOKUP($E199,Benchmark_URLs!$A$2:$L$46,4,FALSE))</f>
        <v/>
      </c>
      <c r="G199" s="10"/>
      <c r="H199" s="10" t="str">
        <f>IF($E199="","",VLOOKUP($E199,Benchmark_URLs!$A$2:$L$46,6,FALSE))</f>
        <v/>
      </c>
      <c r="I199" s="10" t="str">
        <f>IF($E199="","",VLOOKUP($E199,Benchmark_URLs!$A$2:$L$46,7,FALSE))</f>
        <v/>
      </c>
      <c r="J199" s="10" t="str">
        <f>IF($E199="","",VLOOKUP($E199,Benchmark_URLs!$A$2:$L$46,8,FALSE))</f>
        <v/>
      </c>
      <c r="K199" s="10" t="str">
        <f>IF($E199="","",VLOOKUP($E199,Benchmark_URLs!$A$2:$L$46,9,FALSE))</f>
        <v/>
      </c>
      <c r="L199" s="10" t="str">
        <f>IF($E199="","",VLOOKUP($E199,Benchmark_URLs!$A$2:$L$46,10,FALSE))</f>
        <v/>
      </c>
      <c r="M199" s="10" t="str">
        <f>IF($E199="","",VLOOKUP($E199,Benchmark_URLs!$A$2:$L$46,11,FALSE))</f>
        <v/>
      </c>
      <c r="N199" s="16"/>
      <c r="O199" s="16"/>
      <c r="P199" s="16"/>
      <c r="Q199" s="19"/>
      <c r="R199" s="19"/>
      <c r="S199" s="19"/>
      <c r="T199" s="16"/>
      <c r="U199" s="16"/>
      <c r="V199" s="16"/>
      <c r="W199" s="19"/>
      <c r="X199" s="19"/>
      <c r="Y199" s="20"/>
      <c r="Z199" s="20"/>
      <c r="AA199" s="10"/>
      <c r="AB199" s="10"/>
      <c r="AC199" s="15" t="str">
        <f t="shared" si="7"/>
        <v/>
      </c>
      <c r="AD199" s="15" t="str">
        <f t="shared" si="1"/>
        <v/>
      </c>
      <c r="AE199" s="16" t="str">
        <f t="shared" si="11"/>
        <v/>
      </c>
      <c r="AF199" s="16" t="str">
        <f>IF($E199="","",IF($H199="pdf",IFERROR(IF($X199&gt;=Weights!$B$10,1,0),0),1))</f>
        <v/>
      </c>
      <c r="AG199" s="16" t="str">
        <f t="shared" si="12"/>
        <v/>
      </c>
      <c r="AH199" s="15" t="str">
        <f>IF($E199="","",IFERROR((Weights!$B$2*$O199 + Weights!$B$3*$AE199 + Weights!$B$4*$AD199 + Weights!$B$5*(1-$AC199) + Weights!$B$6*$AF199 + Weights!$B$7*$AG199)/SUM(Weights!$B$2:$B$7),"" ))</f>
        <v/>
      </c>
      <c r="AI199" s="15" t="str">
        <f>IF($E199="","",IF($O199=0,0,IFERROR($AH199/MAX(Weights!$B$8,$Y199)/MAX(Weights!$B$9,IF($Z199="",0,$Z199)), "")))</f>
        <v/>
      </c>
      <c r="AJ199" s="17"/>
    </row>
    <row r="200" ht="15.75" customHeight="1">
      <c r="A200" s="10"/>
      <c r="B200" s="39"/>
      <c r="C200" s="10"/>
      <c r="D200" s="10"/>
      <c r="E200" s="10"/>
      <c r="F200" s="10" t="str">
        <f>IF($E200="","",VLOOKUP($E200,Benchmark_URLs!$A$2:$L$46,4,FALSE))</f>
        <v/>
      </c>
      <c r="G200" s="10"/>
      <c r="H200" s="10" t="str">
        <f>IF($E200="","",VLOOKUP($E200,Benchmark_URLs!$A$2:$L$46,6,FALSE))</f>
        <v/>
      </c>
      <c r="I200" s="10" t="str">
        <f>IF($E200="","",VLOOKUP($E200,Benchmark_URLs!$A$2:$L$46,7,FALSE))</f>
        <v/>
      </c>
      <c r="J200" s="10" t="str">
        <f>IF($E200="","",VLOOKUP($E200,Benchmark_URLs!$A$2:$L$46,8,FALSE))</f>
        <v/>
      </c>
      <c r="K200" s="10" t="str">
        <f>IF($E200="","",VLOOKUP($E200,Benchmark_URLs!$A$2:$L$46,9,FALSE))</f>
        <v/>
      </c>
      <c r="L200" s="10" t="str">
        <f>IF($E200="","",VLOOKUP($E200,Benchmark_URLs!$A$2:$L$46,10,FALSE))</f>
        <v/>
      </c>
      <c r="M200" s="10" t="str">
        <f>IF($E200="","",VLOOKUP($E200,Benchmark_URLs!$A$2:$L$46,11,FALSE))</f>
        <v/>
      </c>
      <c r="N200" s="16"/>
      <c r="O200" s="16"/>
      <c r="P200" s="16"/>
      <c r="Q200" s="19"/>
      <c r="R200" s="19"/>
      <c r="S200" s="19"/>
      <c r="T200" s="16"/>
      <c r="U200" s="16"/>
      <c r="V200" s="16"/>
      <c r="W200" s="19"/>
      <c r="X200" s="19"/>
      <c r="Y200" s="20"/>
      <c r="Z200" s="20"/>
      <c r="AA200" s="10"/>
      <c r="AB200" s="10"/>
      <c r="AC200" s="15" t="str">
        <f t="shared" si="7"/>
        <v/>
      </c>
      <c r="AD200" s="15" t="str">
        <f t="shared" si="1"/>
        <v/>
      </c>
      <c r="AE200" s="16" t="str">
        <f t="shared" si="11"/>
        <v/>
      </c>
      <c r="AF200" s="16" t="str">
        <f>IF($E200="","",IF($H200="pdf",IFERROR(IF($X200&gt;=Weights!$B$10,1,0),0),1))</f>
        <v/>
      </c>
      <c r="AG200" s="16" t="str">
        <f t="shared" si="12"/>
        <v/>
      </c>
      <c r="AH200" s="15" t="str">
        <f>IF($E200="","",IFERROR((Weights!$B$2*$O200 + Weights!$B$3*$AE200 + Weights!$B$4*$AD200 + Weights!$B$5*(1-$AC200) + Weights!$B$6*$AF200 + Weights!$B$7*$AG200)/SUM(Weights!$B$2:$B$7),"" ))</f>
        <v/>
      </c>
      <c r="AI200" s="15" t="str">
        <f>IF($E200="","",IF($O200=0,0,IFERROR($AH200/MAX(Weights!$B$8,$Y200)/MAX(Weights!$B$9,IF($Z200="",0,$Z200)), "")))</f>
        <v/>
      </c>
      <c r="AJ200" s="17"/>
    </row>
    <row r="201" ht="15.75" customHeight="1">
      <c r="A201" s="10"/>
      <c r="B201" s="39"/>
      <c r="C201" s="10"/>
      <c r="D201" s="10"/>
      <c r="E201" s="10"/>
      <c r="F201" s="10" t="str">
        <f>IF($E201="","",VLOOKUP($E201,Benchmark_URLs!$A$2:$L$46,4,FALSE))</f>
        <v/>
      </c>
      <c r="G201" s="10"/>
      <c r="H201" s="10" t="str">
        <f>IF($E201="","",VLOOKUP($E201,Benchmark_URLs!$A$2:$L$46,6,FALSE))</f>
        <v/>
      </c>
      <c r="I201" s="10" t="str">
        <f>IF($E201="","",VLOOKUP($E201,Benchmark_URLs!$A$2:$L$46,7,FALSE))</f>
        <v/>
      </c>
      <c r="J201" s="10" t="str">
        <f>IF($E201="","",VLOOKUP($E201,Benchmark_URLs!$A$2:$L$46,8,FALSE))</f>
        <v/>
      </c>
      <c r="K201" s="10" t="str">
        <f>IF($E201="","",VLOOKUP($E201,Benchmark_URLs!$A$2:$L$46,9,FALSE))</f>
        <v/>
      </c>
      <c r="L201" s="10" t="str">
        <f>IF($E201="","",VLOOKUP($E201,Benchmark_URLs!$A$2:$L$46,10,FALSE))</f>
        <v/>
      </c>
      <c r="M201" s="10" t="str">
        <f>IF($E201="","",VLOOKUP($E201,Benchmark_URLs!$A$2:$L$46,11,FALSE))</f>
        <v/>
      </c>
      <c r="N201" s="16"/>
      <c r="O201" s="16"/>
      <c r="P201" s="16"/>
      <c r="Q201" s="19"/>
      <c r="R201" s="19"/>
      <c r="S201" s="19"/>
      <c r="T201" s="16"/>
      <c r="U201" s="16"/>
      <c r="V201" s="16"/>
      <c r="W201" s="19"/>
      <c r="X201" s="19"/>
      <c r="Y201" s="20"/>
      <c r="Z201" s="20"/>
      <c r="AA201" s="10"/>
      <c r="AB201" s="10"/>
      <c r="AC201" s="15" t="str">
        <f t="shared" si="7"/>
        <v/>
      </c>
      <c r="AD201" s="15" t="str">
        <f t="shared" si="1"/>
        <v/>
      </c>
      <c r="AE201" s="16" t="str">
        <f t="shared" si="11"/>
        <v/>
      </c>
      <c r="AF201" s="16" t="str">
        <f>IF($E201="","",IF($H201="pdf",IFERROR(IF($X201&gt;=Weights!$B$10,1,0),0),1))</f>
        <v/>
      </c>
      <c r="AG201" s="16" t="str">
        <f t="shared" si="12"/>
        <v/>
      </c>
      <c r="AH201" s="15" t="str">
        <f>IF($E201="","",IFERROR((Weights!$B$2*$O201 + Weights!$B$3*$AE201 + Weights!$B$4*$AD201 + Weights!$B$5*(1-$AC201) + Weights!$B$6*$AF201 + Weights!$B$7*$AG201)/SUM(Weights!$B$2:$B$7),"" ))</f>
        <v/>
      </c>
      <c r="AI201" s="15" t="str">
        <f>IF($E201="","",IF($O201=0,0,IFERROR($AH201/MAX(Weights!$B$8,$Y201)/MAX(Weights!$B$9,IF($Z201="",0,$Z201)), "")))</f>
        <v/>
      </c>
      <c r="AJ201" s="17"/>
    </row>
    <row r="202" ht="15.75" customHeight="1">
      <c r="A202" s="10"/>
      <c r="B202" s="39"/>
      <c r="C202" s="10"/>
      <c r="D202" s="10"/>
      <c r="E202" s="10"/>
      <c r="F202" s="10" t="str">
        <f>IF($E202="","",VLOOKUP($E202,Benchmark_URLs!$A$2:$L$46,4,FALSE))</f>
        <v/>
      </c>
      <c r="G202" s="10"/>
      <c r="H202" s="10" t="str">
        <f>IF($E202="","",VLOOKUP($E202,Benchmark_URLs!$A$2:$L$46,6,FALSE))</f>
        <v/>
      </c>
      <c r="I202" s="10" t="str">
        <f>IF($E202="","",VLOOKUP($E202,Benchmark_URLs!$A$2:$L$46,7,FALSE))</f>
        <v/>
      </c>
      <c r="J202" s="10" t="str">
        <f>IF($E202="","",VLOOKUP($E202,Benchmark_URLs!$A$2:$L$46,8,FALSE))</f>
        <v/>
      </c>
      <c r="K202" s="10" t="str">
        <f>IF($E202="","",VLOOKUP($E202,Benchmark_URLs!$A$2:$L$46,9,FALSE))</f>
        <v/>
      </c>
      <c r="L202" s="10" t="str">
        <f>IF($E202="","",VLOOKUP($E202,Benchmark_URLs!$A$2:$L$46,10,FALSE))</f>
        <v/>
      </c>
      <c r="M202" s="10" t="str">
        <f>IF($E202="","",VLOOKUP($E202,Benchmark_URLs!$A$2:$L$46,11,FALSE))</f>
        <v/>
      </c>
      <c r="N202" s="16"/>
      <c r="O202" s="16"/>
      <c r="P202" s="16"/>
      <c r="Q202" s="19"/>
      <c r="R202" s="19"/>
      <c r="S202" s="19"/>
      <c r="T202" s="16"/>
      <c r="U202" s="16"/>
      <c r="V202" s="16"/>
      <c r="W202" s="19"/>
      <c r="X202" s="19"/>
      <c r="Y202" s="20"/>
      <c r="Z202" s="20"/>
      <c r="AA202" s="10"/>
      <c r="AB202" s="10"/>
      <c r="AC202" s="15" t="str">
        <f t="shared" si="7"/>
        <v/>
      </c>
      <c r="AD202" s="15" t="str">
        <f t="shared" si="1"/>
        <v/>
      </c>
      <c r="AE202" s="16" t="str">
        <f t="shared" si="11"/>
        <v/>
      </c>
      <c r="AF202" s="16" t="str">
        <f>IF($E202="","",IF($H202="pdf",IFERROR(IF($X202&gt;=Weights!$B$10,1,0),0),1))</f>
        <v/>
      </c>
      <c r="AG202" s="16" t="str">
        <f t="shared" si="12"/>
        <v/>
      </c>
      <c r="AH202" s="15" t="str">
        <f>IF($E202="","",IFERROR((Weights!$B$2*$O202 + Weights!$B$3*$AE202 + Weights!$B$4*$AD202 + Weights!$B$5*(1-$AC202) + Weights!$B$6*$AF202 + Weights!$B$7*$AG202)/SUM(Weights!$B$2:$B$7),"" ))</f>
        <v/>
      </c>
      <c r="AI202" s="15" t="str">
        <f>IF($E202="","",IF($O202=0,0,IFERROR($AH202/MAX(Weights!$B$8,$Y202)/MAX(Weights!$B$9,IF($Z202="",0,$Z202)), "")))</f>
        <v/>
      </c>
      <c r="AJ202" s="17"/>
    </row>
    <row r="203" ht="15.75" customHeight="1">
      <c r="A203" s="10"/>
      <c r="B203" s="39"/>
      <c r="C203" s="10"/>
      <c r="D203" s="10"/>
      <c r="E203" s="10"/>
      <c r="F203" s="10" t="str">
        <f>IF($E203="","",VLOOKUP($E203,Benchmark_URLs!$A$2:$L$46,4,FALSE))</f>
        <v/>
      </c>
      <c r="G203" s="10"/>
      <c r="H203" s="10" t="str">
        <f>IF($E203="","",VLOOKUP($E203,Benchmark_URLs!$A$2:$L$46,6,FALSE))</f>
        <v/>
      </c>
      <c r="I203" s="10" t="str">
        <f>IF($E203="","",VLOOKUP($E203,Benchmark_URLs!$A$2:$L$46,7,FALSE))</f>
        <v/>
      </c>
      <c r="J203" s="10" t="str">
        <f>IF($E203="","",VLOOKUP($E203,Benchmark_URLs!$A$2:$L$46,8,FALSE))</f>
        <v/>
      </c>
      <c r="K203" s="10" t="str">
        <f>IF($E203="","",VLOOKUP($E203,Benchmark_URLs!$A$2:$L$46,9,FALSE))</f>
        <v/>
      </c>
      <c r="L203" s="10" t="str">
        <f>IF($E203="","",VLOOKUP($E203,Benchmark_URLs!$A$2:$L$46,10,FALSE))</f>
        <v/>
      </c>
      <c r="M203" s="10" t="str">
        <f>IF($E203="","",VLOOKUP($E203,Benchmark_URLs!$A$2:$L$46,11,FALSE))</f>
        <v/>
      </c>
      <c r="N203" s="16"/>
      <c r="O203" s="16"/>
      <c r="P203" s="16"/>
      <c r="Q203" s="19"/>
      <c r="R203" s="19"/>
      <c r="S203" s="19"/>
      <c r="T203" s="16"/>
      <c r="U203" s="16"/>
      <c r="V203" s="16"/>
      <c r="W203" s="19"/>
      <c r="X203" s="19"/>
      <c r="Y203" s="20"/>
      <c r="Z203" s="20"/>
      <c r="AA203" s="10"/>
      <c r="AB203" s="10"/>
      <c r="AC203" s="15" t="str">
        <f t="shared" si="7"/>
        <v/>
      </c>
      <c r="AD203" s="15" t="str">
        <f t="shared" si="1"/>
        <v/>
      </c>
      <c r="AE203" s="16" t="str">
        <f t="shared" si="11"/>
        <v/>
      </c>
      <c r="AF203" s="16" t="str">
        <f>IF($E203="","",IF($H203="pdf",IFERROR(IF($X203&gt;=Weights!$B$10,1,0),0),1))</f>
        <v/>
      </c>
      <c r="AG203" s="16" t="str">
        <f t="shared" si="12"/>
        <v/>
      </c>
      <c r="AH203" s="15" t="str">
        <f>IF($E203="","",IFERROR((Weights!$B$2*$O203 + Weights!$B$3*$AE203 + Weights!$B$4*$AD203 + Weights!$B$5*(1-$AC203) + Weights!$B$6*$AF203 + Weights!$B$7*$AG203)/SUM(Weights!$B$2:$B$7),"" ))</f>
        <v/>
      </c>
      <c r="AI203" s="15" t="str">
        <f>IF($E203="","",IF($O203=0,0,IFERROR($AH203/MAX(Weights!$B$8,$Y203)/MAX(Weights!$B$9,IF($Z203="",0,$Z203)), "")))</f>
        <v/>
      </c>
      <c r="AJ203" s="17"/>
    </row>
    <row r="204" ht="15.75" customHeight="1">
      <c r="A204" s="10"/>
      <c r="B204" s="39"/>
      <c r="C204" s="10"/>
      <c r="D204" s="10"/>
      <c r="E204" s="10"/>
      <c r="F204" s="10" t="str">
        <f>IF($E204="","",VLOOKUP($E204,Benchmark_URLs!$A$2:$L$46,4,FALSE))</f>
        <v/>
      </c>
      <c r="G204" s="10"/>
      <c r="H204" s="10" t="str">
        <f>IF($E204="","",VLOOKUP($E204,Benchmark_URLs!$A$2:$L$46,6,FALSE))</f>
        <v/>
      </c>
      <c r="I204" s="10" t="str">
        <f>IF($E204="","",VLOOKUP($E204,Benchmark_URLs!$A$2:$L$46,7,FALSE))</f>
        <v/>
      </c>
      <c r="J204" s="10" t="str">
        <f>IF($E204="","",VLOOKUP($E204,Benchmark_URLs!$A$2:$L$46,8,FALSE))</f>
        <v/>
      </c>
      <c r="K204" s="10" t="str">
        <f>IF($E204="","",VLOOKUP($E204,Benchmark_URLs!$A$2:$L$46,9,FALSE))</f>
        <v/>
      </c>
      <c r="L204" s="10" t="str">
        <f>IF($E204="","",VLOOKUP($E204,Benchmark_URLs!$A$2:$L$46,10,FALSE))</f>
        <v/>
      </c>
      <c r="M204" s="10" t="str">
        <f>IF($E204="","",VLOOKUP($E204,Benchmark_URLs!$A$2:$L$46,11,FALSE))</f>
        <v/>
      </c>
      <c r="N204" s="16"/>
      <c r="O204" s="16"/>
      <c r="P204" s="16"/>
      <c r="Q204" s="19"/>
      <c r="R204" s="19"/>
      <c r="S204" s="19"/>
      <c r="T204" s="16"/>
      <c r="U204" s="16"/>
      <c r="V204" s="16"/>
      <c r="W204" s="19"/>
      <c r="X204" s="19"/>
      <c r="Y204" s="20"/>
      <c r="Z204" s="20"/>
      <c r="AA204" s="10"/>
      <c r="AB204" s="10"/>
      <c r="AC204" s="15" t="str">
        <f t="shared" si="7"/>
        <v/>
      </c>
      <c r="AD204" s="15" t="str">
        <f t="shared" si="1"/>
        <v/>
      </c>
      <c r="AE204" s="16" t="str">
        <f t="shared" si="11"/>
        <v/>
      </c>
      <c r="AF204" s="16" t="str">
        <f>IF($E204="","",IF($H204="pdf",IFERROR(IF($X204&gt;=Weights!$B$10,1,0),0),1))</f>
        <v/>
      </c>
      <c r="AG204" s="16" t="str">
        <f t="shared" si="12"/>
        <v/>
      </c>
      <c r="AH204" s="15" t="str">
        <f>IF($E204="","",IFERROR((Weights!$B$2*$O204 + Weights!$B$3*$AE204 + Weights!$B$4*$AD204 + Weights!$B$5*(1-$AC204) + Weights!$B$6*$AF204 + Weights!$B$7*$AG204)/SUM(Weights!$B$2:$B$7),"" ))</f>
        <v/>
      </c>
      <c r="AI204" s="15" t="str">
        <f>IF($E204="","",IF($O204=0,0,IFERROR($AH204/MAX(Weights!$B$8,$Y204)/MAX(Weights!$B$9,IF($Z204="",0,$Z204)), "")))</f>
        <v/>
      </c>
      <c r="AJ204" s="17"/>
    </row>
    <row r="205" ht="15.75" customHeight="1">
      <c r="A205" s="10"/>
      <c r="B205" s="39"/>
      <c r="C205" s="10"/>
      <c r="D205" s="10"/>
      <c r="E205" s="10"/>
      <c r="F205" s="10" t="str">
        <f>IF($E205="","",VLOOKUP($E205,Benchmark_URLs!$A$2:$L$46,4,FALSE))</f>
        <v/>
      </c>
      <c r="G205" s="10"/>
      <c r="H205" s="10" t="str">
        <f>IF($E205="","",VLOOKUP($E205,Benchmark_URLs!$A$2:$L$46,6,FALSE))</f>
        <v/>
      </c>
      <c r="I205" s="10" t="str">
        <f>IF($E205="","",VLOOKUP($E205,Benchmark_URLs!$A$2:$L$46,7,FALSE))</f>
        <v/>
      </c>
      <c r="J205" s="10" t="str">
        <f>IF($E205="","",VLOOKUP($E205,Benchmark_URLs!$A$2:$L$46,8,FALSE))</f>
        <v/>
      </c>
      <c r="K205" s="10" t="str">
        <f>IF($E205="","",VLOOKUP($E205,Benchmark_URLs!$A$2:$L$46,9,FALSE))</f>
        <v/>
      </c>
      <c r="L205" s="10" t="str">
        <f>IF($E205="","",VLOOKUP($E205,Benchmark_URLs!$A$2:$L$46,10,FALSE))</f>
        <v/>
      </c>
      <c r="M205" s="10" t="str">
        <f>IF($E205="","",VLOOKUP($E205,Benchmark_URLs!$A$2:$L$46,11,FALSE))</f>
        <v/>
      </c>
      <c r="N205" s="16"/>
      <c r="O205" s="16"/>
      <c r="P205" s="16"/>
      <c r="Q205" s="19"/>
      <c r="R205" s="19"/>
      <c r="S205" s="19"/>
      <c r="T205" s="16"/>
      <c r="U205" s="16"/>
      <c r="V205" s="16"/>
      <c r="W205" s="19"/>
      <c r="X205" s="19"/>
      <c r="Y205" s="20"/>
      <c r="Z205" s="20"/>
      <c r="AA205" s="10"/>
      <c r="AB205" s="10"/>
      <c r="AC205" s="15" t="str">
        <f t="shared" si="7"/>
        <v/>
      </c>
      <c r="AD205" s="15" t="str">
        <f t="shared" si="1"/>
        <v/>
      </c>
      <c r="AE205" s="16" t="str">
        <f t="shared" si="11"/>
        <v/>
      </c>
      <c r="AF205" s="16" t="str">
        <f>IF($E205="","",IF($H205="pdf",IFERROR(IF($X205&gt;=Weights!$B$10,1,0),0),1))</f>
        <v/>
      </c>
      <c r="AG205" s="16" t="str">
        <f t="shared" si="12"/>
        <v/>
      </c>
      <c r="AH205" s="15" t="str">
        <f>IF($E205="","",IFERROR((Weights!$B$2*$O205 + Weights!$B$3*$AE205 + Weights!$B$4*$AD205 + Weights!$B$5*(1-$AC205) + Weights!$B$6*$AF205 + Weights!$B$7*$AG205)/SUM(Weights!$B$2:$B$7),"" ))</f>
        <v/>
      </c>
      <c r="AI205" s="15" t="str">
        <f>IF($E205="","",IF($O205=0,0,IFERROR($AH205/MAX(Weights!$B$8,$Y205)/MAX(Weights!$B$9,IF($Z205="",0,$Z205)), "")))</f>
        <v/>
      </c>
      <c r="AJ205" s="17"/>
    </row>
    <row r="206" ht="15.75" customHeight="1">
      <c r="A206" s="10"/>
      <c r="B206" s="39"/>
      <c r="C206" s="10"/>
      <c r="D206" s="10"/>
      <c r="E206" s="10"/>
      <c r="F206" s="10" t="str">
        <f>IF($E206="","",VLOOKUP($E206,Benchmark_URLs!$A$2:$L$46,4,FALSE))</f>
        <v/>
      </c>
      <c r="G206" s="10"/>
      <c r="H206" s="10" t="str">
        <f>IF($E206="","",VLOOKUP($E206,Benchmark_URLs!$A$2:$L$46,6,FALSE))</f>
        <v/>
      </c>
      <c r="I206" s="10" t="str">
        <f>IF($E206="","",VLOOKUP($E206,Benchmark_URLs!$A$2:$L$46,7,FALSE))</f>
        <v/>
      </c>
      <c r="J206" s="10" t="str">
        <f>IF($E206="","",VLOOKUP($E206,Benchmark_URLs!$A$2:$L$46,8,FALSE))</f>
        <v/>
      </c>
      <c r="K206" s="10" t="str">
        <f>IF($E206="","",VLOOKUP($E206,Benchmark_URLs!$A$2:$L$46,9,FALSE))</f>
        <v/>
      </c>
      <c r="L206" s="10" t="str">
        <f>IF($E206="","",VLOOKUP($E206,Benchmark_URLs!$A$2:$L$46,10,FALSE))</f>
        <v/>
      </c>
      <c r="M206" s="10" t="str">
        <f>IF($E206="","",VLOOKUP($E206,Benchmark_URLs!$A$2:$L$46,11,FALSE))</f>
        <v/>
      </c>
      <c r="N206" s="16"/>
      <c r="O206" s="16"/>
      <c r="P206" s="16"/>
      <c r="Q206" s="19"/>
      <c r="R206" s="19"/>
      <c r="S206" s="19"/>
      <c r="T206" s="16"/>
      <c r="U206" s="16"/>
      <c r="V206" s="16"/>
      <c r="W206" s="19"/>
      <c r="X206" s="19"/>
      <c r="Y206" s="20"/>
      <c r="Z206" s="20"/>
      <c r="AA206" s="10"/>
      <c r="AB206" s="10"/>
      <c r="AC206" s="15" t="str">
        <f t="shared" si="7"/>
        <v/>
      </c>
      <c r="AD206" s="15" t="str">
        <f t="shared" si="1"/>
        <v/>
      </c>
      <c r="AE206" s="16" t="str">
        <f t="shared" si="11"/>
        <v/>
      </c>
      <c r="AF206" s="16" t="str">
        <f>IF($E206="","",IF($H206="pdf",IFERROR(IF($X206&gt;=Weights!$B$10,1,0),0),1))</f>
        <v/>
      </c>
      <c r="AG206" s="16" t="str">
        <f t="shared" si="12"/>
        <v/>
      </c>
      <c r="AH206" s="15" t="str">
        <f>IF($E206="","",IFERROR((Weights!$B$2*$O206 + Weights!$B$3*$AE206 + Weights!$B$4*$AD206 + Weights!$B$5*(1-$AC206) + Weights!$B$6*$AF206 + Weights!$B$7*$AG206)/SUM(Weights!$B$2:$B$7),"" ))</f>
        <v/>
      </c>
      <c r="AI206" s="15" t="str">
        <f>IF($E206="","",IF($O206=0,0,IFERROR($AH206/MAX(Weights!$B$8,$Y206)/MAX(Weights!$B$9,IF($Z206="",0,$Z206)), "")))</f>
        <v/>
      </c>
      <c r="AJ206" s="17"/>
    </row>
    <row r="207" ht="15.75" customHeight="1">
      <c r="A207" s="10"/>
      <c r="B207" s="39"/>
      <c r="C207" s="10"/>
      <c r="D207" s="10"/>
      <c r="E207" s="10"/>
      <c r="F207" s="10" t="str">
        <f>IF($E207="","",VLOOKUP($E207,Benchmark_URLs!$A$2:$L$46,4,FALSE))</f>
        <v/>
      </c>
      <c r="G207" s="10"/>
      <c r="H207" s="10" t="str">
        <f>IF($E207="","",VLOOKUP($E207,Benchmark_URLs!$A$2:$L$46,6,FALSE))</f>
        <v/>
      </c>
      <c r="I207" s="10" t="str">
        <f>IF($E207="","",VLOOKUP($E207,Benchmark_URLs!$A$2:$L$46,7,FALSE))</f>
        <v/>
      </c>
      <c r="J207" s="10" t="str">
        <f>IF($E207="","",VLOOKUP($E207,Benchmark_URLs!$A$2:$L$46,8,FALSE))</f>
        <v/>
      </c>
      <c r="K207" s="10" t="str">
        <f>IF($E207="","",VLOOKUP($E207,Benchmark_URLs!$A$2:$L$46,9,FALSE))</f>
        <v/>
      </c>
      <c r="L207" s="10" t="str">
        <f>IF($E207="","",VLOOKUP($E207,Benchmark_URLs!$A$2:$L$46,10,FALSE))</f>
        <v/>
      </c>
      <c r="M207" s="10" t="str">
        <f>IF($E207="","",VLOOKUP($E207,Benchmark_URLs!$A$2:$L$46,11,FALSE))</f>
        <v/>
      </c>
      <c r="N207" s="16"/>
      <c r="O207" s="16"/>
      <c r="P207" s="16"/>
      <c r="Q207" s="19"/>
      <c r="R207" s="19"/>
      <c r="S207" s="19"/>
      <c r="T207" s="16"/>
      <c r="U207" s="16"/>
      <c r="V207" s="16"/>
      <c r="W207" s="19"/>
      <c r="X207" s="19"/>
      <c r="Y207" s="20"/>
      <c r="Z207" s="20"/>
      <c r="AA207" s="10"/>
      <c r="AB207" s="10"/>
      <c r="AC207" s="15" t="str">
        <f t="shared" si="7"/>
        <v/>
      </c>
      <c r="AD207" s="15" t="str">
        <f t="shared" si="1"/>
        <v/>
      </c>
      <c r="AE207" s="16" t="str">
        <f t="shared" si="11"/>
        <v/>
      </c>
      <c r="AF207" s="16" t="str">
        <f>IF($E207="","",IF($H207="pdf",IFERROR(IF($X207&gt;=Weights!$B$10,1,0),0),1))</f>
        <v/>
      </c>
      <c r="AG207" s="16" t="str">
        <f t="shared" si="12"/>
        <v/>
      </c>
      <c r="AH207" s="15" t="str">
        <f>IF($E207="","",IFERROR((Weights!$B$2*$O207 + Weights!$B$3*$AE207 + Weights!$B$4*$AD207 + Weights!$B$5*(1-$AC207) + Weights!$B$6*$AF207 + Weights!$B$7*$AG207)/SUM(Weights!$B$2:$B$7),"" ))</f>
        <v/>
      </c>
      <c r="AI207" s="15" t="str">
        <f>IF($E207="","",IF($O207=0,0,IFERROR($AH207/MAX(Weights!$B$8,$Y207)/MAX(Weights!$B$9,IF($Z207="",0,$Z207)), "")))</f>
        <v/>
      </c>
      <c r="AJ207" s="17"/>
    </row>
    <row r="208" ht="15.75" customHeight="1">
      <c r="A208" s="10"/>
      <c r="B208" s="39"/>
      <c r="C208" s="10"/>
      <c r="D208" s="10"/>
      <c r="E208" s="10"/>
      <c r="F208" s="10" t="str">
        <f>IF($E208="","",VLOOKUP($E208,Benchmark_URLs!$A$2:$L$46,4,FALSE))</f>
        <v/>
      </c>
      <c r="G208" s="10"/>
      <c r="H208" s="10" t="str">
        <f>IF($E208="","",VLOOKUP($E208,Benchmark_URLs!$A$2:$L$46,6,FALSE))</f>
        <v/>
      </c>
      <c r="I208" s="10" t="str">
        <f>IF($E208="","",VLOOKUP($E208,Benchmark_URLs!$A$2:$L$46,7,FALSE))</f>
        <v/>
      </c>
      <c r="J208" s="10" t="str">
        <f>IF($E208="","",VLOOKUP($E208,Benchmark_URLs!$A$2:$L$46,8,FALSE))</f>
        <v/>
      </c>
      <c r="K208" s="10" t="str">
        <f>IF($E208="","",VLOOKUP($E208,Benchmark_URLs!$A$2:$L$46,9,FALSE))</f>
        <v/>
      </c>
      <c r="L208" s="10" t="str">
        <f>IF($E208="","",VLOOKUP($E208,Benchmark_URLs!$A$2:$L$46,10,FALSE))</f>
        <v/>
      </c>
      <c r="M208" s="10" t="str">
        <f>IF($E208="","",VLOOKUP($E208,Benchmark_URLs!$A$2:$L$46,11,FALSE))</f>
        <v/>
      </c>
      <c r="N208" s="16"/>
      <c r="O208" s="16"/>
      <c r="P208" s="16"/>
      <c r="Q208" s="19"/>
      <c r="R208" s="19"/>
      <c r="S208" s="19"/>
      <c r="T208" s="16"/>
      <c r="U208" s="16"/>
      <c r="V208" s="16"/>
      <c r="W208" s="19"/>
      <c r="X208" s="19"/>
      <c r="Y208" s="20"/>
      <c r="Z208" s="20"/>
      <c r="AA208" s="10"/>
      <c r="AB208" s="10"/>
      <c r="AC208" s="15" t="str">
        <f t="shared" si="7"/>
        <v/>
      </c>
      <c r="AD208" s="15" t="str">
        <f t="shared" si="1"/>
        <v/>
      </c>
      <c r="AE208" s="16" t="str">
        <f t="shared" si="11"/>
        <v/>
      </c>
      <c r="AF208" s="16" t="str">
        <f>IF($E208="","",IF($H208="pdf",IFERROR(IF($X208&gt;=Weights!$B$10,1,0),0),1))</f>
        <v/>
      </c>
      <c r="AG208" s="16" t="str">
        <f t="shared" si="12"/>
        <v/>
      </c>
      <c r="AH208" s="15" t="str">
        <f>IF($E208="","",IFERROR((Weights!$B$2*$O208 + Weights!$B$3*$AE208 + Weights!$B$4*$AD208 + Weights!$B$5*(1-$AC208) + Weights!$B$6*$AF208 + Weights!$B$7*$AG208)/SUM(Weights!$B$2:$B$7),"" ))</f>
        <v/>
      </c>
      <c r="AI208" s="15" t="str">
        <f>IF($E208="","",IF($O208=0,0,IFERROR($AH208/MAX(Weights!$B$8,$Y208)/MAX(Weights!$B$9,IF($Z208="",0,$Z208)), "")))</f>
        <v/>
      </c>
      <c r="AJ208" s="17"/>
    </row>
    <row r="209" ht="15.75" customHeight="1">
      <c r="A209" s="10"/>
      <c r="B209" s="39"/>
      <c r="C209" s="10"/>
      <c r="D209" s="10"/>
      <c r="E209" s="10"/>
      <c r="F209" s="10" t="str">
        <f>IF($E209="","",VLOOKUP($E209,Benchmark_URLs!$A$2:$L$46,4,FALSE))</f>
        <v/>
      </c>
      <c r="G209" s="10"/>
      <c r="H209" s="10" t="str">
        <f>IF($E209="","",VLOOKUP($E209,Benchmark_URLs!$A$2:$L$46,6,FALSE))</f>
        <v/>
      </c>
      <c r="I209" s="10" t="str">
        <f>IF($E209="","",VLOOKUP($E209,Benchmark_URLs!$A$2:$L$46,7,FALSE))</f>
        <v/>
      </c>
      <c r="J209" s="10" t="str">
        <f>IF($E209="","",VLOOKUP($E209,Benchmark_URLs!$A$2:$L$46,8,FALSE))</f>
        <v/>
      </c>
      <c r="K209" s="10" t="str">
        <f>IF($E209="","",VLOOKUP($E209,Benchmark_URLs!$A$2:$L$46,9,FALSE))</f>
        <v/>
      </c>
      <c r="L209" s="10" t="str">
        <f>IF($E209="","",VLOOKUP($E209,Benchmark_URLs!$A$2:$L$46,10,FALSE))</f>
        <v/>
      </c>
      <c r="M209" s="10" t="str">
        <f>IF($E209="","",VLOOKUP($E209,Benchmark_URLs!$A$2:$L$46,11,FALSE))</f>
        <v/>
      </c>
      <c r="N209" s="16"/>
      <c r="O209" s="16"/>
      <c r="P209" s="16"/>
      <c r="Q209" s="19"/>
      <c r="R209" s="19"/>
      <c r="S209" s="19"/>
      <c r="T209" s="16"/>
      <c r="U209" s="16"/>
      <c r="V209" s="16"/>
      <c r="W209" s="19"/>
      <c r="X209" s="19"/>
      <c r="Y209" s="20"/>
      <c r="Z209" s="20"/>
      <c r="AA209" s="10"/>
      <c r="AB209" s="10"/>
      <c r="AC209" s="15" t="str">
        <f t="shared" si="7"/>
        <v/>
      </c>
      <c r="AD209" s="15" t="str">
        <f t="shared" si="1"/>
        <v/>
      </c>
      <c r="AE209" s="16" t="str">
        <f t="shared" si="11"/>
        <v/>
      </c>
      <c r="AF209" s="16" t="str">
        <f>IF($E209="","",IF($H209="pdf",IFERROR(IF($X209&gt;=Weights!$B$10,1,0),0),1))</f>
        <v/>
      </c>
      <c r="AG209" s="16" t="str">
        <f t="shared" si="12"/>
        <v/>
      </c>
      <c r="AH209" s="15" t="str">
        <f>IF($E209="","",IFERROR((Weights!$B$2*$O209 + Weights!$B$3*$AE209 + Weights!$B$4*$AD209 + Weights!$B$5*(1-$AC209) + Weights!$B$6*$AF209 + Weights!$B$7*$AG209)/SUM(Weights!$B$2:$B$7),"" ))</f>
        <v/>
      </c>
      <c r="AI209" s="15" t="str">
        <f>IF($E209="","",IF($O209=0,0,IFERROR($AH209/MAX(Weights!$B$8,$Y209)/MAX(Weights!$B$9,IF($Z209="",0,$Z209)), "")))</f>
        <v/>
      </c>
      <c r="AJ209" s="17"/>
    </row>
    <row r="210" ht="15.75" customHeight="1">
      <c r="A210" s="10"/>
      <c r="B210" s="39"/>
      <c r="C210" s="10"/>
      <c r="D210" s="10"/>
      <c r="E210" s="10"/>
      <c r="F210" s="10" t="str">
        <f>IF($E210="","",VLOOKUP($E210,Benchmark_URLs!$A$2:$L$46,4,FALSE))</f>
        <v/>
      </c>
      <c r="G210" s="10"/>
      <c r="H210" s="10" t="str">
        <f>IF($E210="","",VLOOKUP($E210,Benchmark_URLs!$A$2:$L$46,6,FALSE))</f>
        <v/>
      </c>
      <c r="I210" s="10" t="str">
        <f>IF($E210="","",VLOOKUP($E210,Benchmark_URLs!$A$2:$L$46,7,FALSE))</f>
        <v/>
      </c>
      <c r="J210" s="10" t="str">
        <f>IF($E210="","",VLOOKUP($E210,Benchmark_URLs!$A$2:$L$46,8,FALSE))</f>
        <v/>
      </c>
      <c r="K210" s="10" t="str">
        <f>IF($E210="","",VLOOKUP($E210,Benchmark_URLs!$A$2:$L$46,9,FALSE))</f>
        <v/>
      </c>
      <c r="L210" s="10" t="str">
        <f>IF($E210="","",VLOOKUP($E210,Benchmark_URLs!$A$2:$L$46,10,FALSE))</f>
        <v/>
      </c>
      <c r="M210" s="10" t="str">
        <f>IF($E210="","",VLOOKUP($E210,Benchmark_URLs!$A$2:$L$46,11,FALSE))</f>
        <v/>
      </c>
      <c r="N210" s="16"/>
      <c r="O210" s="16"/>
      <c r="P210" s="16"/>
      <c r="Q210" s="19"/>
      <c r="R210" s="19"/>
      <c r="S210" s="19"/>
      <c r="T210" s="16"/>
      <c r="U210" s="16"/>
      <c r="V210" s="16"/>
      <c r="W210" s="19"/>
      <c r="X210" s="19"/>
      <c r="Y210" s="20"/>
      <c r="Z210" s="20"/>
      <c r="AA210" s="10"/>
      <c r="AB210" s="10"/>
      <c r="AC210" s="15" t="str">
        <f t="shared" si="7"/>
        <v/>
      </c>
      <c r="AD210" s="15" t="str">
        <f t="shared" si="1"/>
        <v/>
      </c>
      <c r="AE210" s="16" t="str">
        <f t="shared" si="11"/>
        <v/>
      </c>
      <c r="AF210" s="16" t="str">
        <f>IF($E210="","",IF($H210="pdf",IFERROR(IF($X210&gt;=Weights!$B$10,1,0),0),1))</f>
        <v/>
      </c>
      <c r="AG210" s="16" t="str">
        <f t="shared" si="12"/>
        <v/>
      </c>
      <c r="AH210" s="15" t="str">
        <f>IF($E210="","",IFERROR((Weights!$B$2*$O210 + Weights!$B$3*$AE210 + Weights!$B$4*$AD210 + Weights!$B$5*(1-$AC210) + Weights!$B$6*$AF210 + Weights!$B$7*$AG210)/SUM(Weights!$B$2:$B$7),"" ))</f>
        <v/>
      </c>
      <c r="AI210" s="15" t="str">
        <f>IF($E210="","",IF($O210=0,0,IFERROR($AH210/MAX(Weights!$B$8,$Y210)/MAX(Weights!$B$9,IF($Z210="",0,$Z210)), "")))</f>
        <v/>
      </c>
      <c r="AJ210" s="17"/>
    </row>
    <row r="211" ht="15.75" customHeight="1">
      <c r="A211" s="10"/>
      <c r="B211" s="39"/>
      <c r="C211" s="10"/>
      <c r="D211" s="10"/>
      <c r="E211" s="10"/>
      <c r="F211" s="10" t="str">
        <f>IF($E211="","",VLOOKUP($E211,Benchmark_URLs!$A$2:$L$46,4,FALSE))</f>
        <v/>
      </c>
      <c r="G211" s="10"/>
      <c r="H211" s="10" t="str">
        <f>IF($E211="","",VLOOKUP($E211,Benchmark_URLs!$A$2:$L$46,6,FALSE))</f>
        <v/>
      </c>
      <c r="I211" s="10" t="str">
        <f>IF($E211="","",VLOOKUP($E211,Benchmark_URLs!$A$2:$L$46,7,FALSE))</f>
        <v/>
      </c>
      <c r="J211" s="10" t="str">
        <f>IF($E211="","",VLOOKUP($E211,Benchmark_URLs!$A$2:$L$46,8,FALSE))</f>
        <v/>
      </c>
      <c r="K211" s="10" t="str">
        <f>IF($E211="","",VLOOKUP($E211,Benchmark_URLs!$A$2:$L$46,9,FALSE))</f>
        <v/>
      </c>
      <c r="L211" s="10" t="str">
        <f>IF($E211="","",VLOOKUP($E211,Benchmark_URLs!$A$2:$L$46,10,FALSE))</f>
        <v/>
      </c>
      <c r="M211" s="10" t="str">
        <f>IF($E211="","",VLOOKUP($E211,Benchmark_URLs!$A$2:$L$46,11,FALSE))</f>
        <v/>
      </c>
      <c r="N211" s="16"/>
      <c r="O211" s="16"/>
      <c r="P211" s="16"/>
      <c r="Q211" s="19"/>
      <c r="R211" s="19"/>
      <c r="S211" s="19"/>
      <c r="T211" s="16"/>
      <c r="U211" s="16"/>
      <c r="V211" s="16"/>
      <c r="W211" s="19"/>
      <c r="X211" s="19"/>
      <c r="Y211" s="20"/>
      <c r="Z211" s="20"/>
      <c r="AA211" s="10"/>
      <c r="AB211" s="10"/>
      <c r="AC211" s="15" t="str">
        <f t="shared" si="7"/>
        <v/>
      </c>
      <c r="AD211" s="15" t="str">
        <f t="shared" si="1"/>
        <v/>
      </c>
      <c r="AE211" s="16" t="str">
        <f t="shared" si="11"/>
        <v/>
      </c>
      <c r="AF211" s="16" t="str">
        <f>IF($E211="","",IF($H211="pdf",IFERROR(IF($X211&gt;=Weights!$B$10,1,0),0),1))</f>
        <v/>
      </c>
      <c r="AG211" s="16" t="str">
        <f t="shared" si="12"/>
        <v/>
      </c>
      <c r="AH211" s="15" t="str">
        <f>IF($E211="","",IFERROR((Weights!$B$2*$O211 + Weights!$B$3*$AE211 + Weights!$B$4*$AD211 + Weights!$B$5*(1-$AC211) + Weights!$B$6*$AF211 + Weights!$B$7*$AG211)/SUM(Weights!$B$2:$B$7),"" ))</f>
        <v/>
      </c>
      <c r="AI211" s="15" t="str">
        <f>IF($E211="","",IF($O211=0,0,IFERROR($AH211/MAX(Weights!$B$8,$Y211)/MAX(Weights!$B$9,IF($Z211="",0,$Z211)), "")))</f>
        <v/>
      </c>
      <c r="AJ211" s="17"/>
    </row>
    <row r="212" ht="15.75" customHeight="1">
      <c r="A212" s="10"/>
      <c r="B212" s="39"/>
      <c r="C212" s="10"/>
      <c r="D212" s="10"/>
      <c r="E212" s="10"/>
      <c r="F212" s="10" t="str">
        <f>IF($E212="","",VLOOKUP($E212,Benchmark_URLs!$A$2:$L$46,4,FALSE))</f>
        <v/>
      </c>
      <c r="G212" s="10"/>
      <c r="H212" s="10" t="str">
        <f>IF($E212="","",VLOOKUP($E212,Benchmark_URLs!$A$2:$L$46,6,FALSE))</f>
        <v/>
      </c>
      <c r="I212" s="10" t="str">
        <f>IF($E212="","",VLOOKUP($E212,Benchmark_URLs!$A$2:$L$46,7,FALSE))</f>
        <v/>
      </c>
      <c r="J212" s="10" t="str">
        <f>IF($E212="","",VLOOKUP($E212,Benchmark_URLs!$A$2:$L$46,8,FALSE))</f>
        <v/>
      </c>
      <c r="K212" s="10" t="str">
        <f>IF($E212="","",VLOOKUP($E212,Benchmark_URLs!$A$2:$L$46,9,FALSE))</f>
        <v/>
      </c>
      <c r="L212" s="10" t="str">
        <f>IF($E212="","",VLOOKUP($E212,Benchmark_URLs!$A$2:$L$46,10,FALSE))</f>
        <v/>
      </c>
      <c r="M212" s="10" t="str">
        <f>IF($E212="","",VLOOKUP($E212,Benchmark_URLs!$A$2:$L$46,11,FALSE))</f>
        <v/>
      </c>
      <c r="N212" s="16"/>
      <c r="O212" s="16"/>
      <c r="P212" s="16"/>
      <c r="Q212" s="19"/>
      <c r="R212" s="19"/>
      <c r="S212" s="19"/>
      <c r="T212" s="16"/>
      <c r="U212" s="16"/>
      <c r="V212" s="16"/>
      <c r="W212" s="19"/>
      <c r="X212" s="19"/>
      <c r="Y212" s="20"/>
      <c r="Z212" s="20"/>
      <c r="AA212" s="10"/>
      <c r="AB212" s="10"/>
      <c r="AC212" s="15" t="str">
        <f t="shared" si="7"/>
        <v/>
      </c>
      <c r="AD212" s="15" t="str">
        <f t="shared" si="1"/>
        <v/>
      </c>
      <c r="AE212" s="16" t="str">
        <f t="shared" si="11"/>
        <v/>
      </c>
      <c r="AF212" s="16" t="str">
        <f>IF($E212="","",IF($H212="pdf",IFERROR(IF($X212&gt;=Weights!$B$10,1,0),0),1))</f>
        <v/>
      </c>
      <c r="AG212" s="16" t="str">
        <f t="shared" si="12"/>
        <v/>
      </c>
      <c r="AH212" s="15" t="str">
        <f>IF($E212="","",IFERROR((Weights!$B$2*$O212 + Weights!$B$3*$AE212 + Weights!$B$4*$AD212 + Weights!$B$5*(1-$AC212) + Weights!$B$6*$AF212 + Weights!$B$7*$AG212)/SUM(Weights!$B$2:$B$7),"" ))</f>
        <v/>
      </c>
      <c r="AI212" s="15" t="str">
        <f>IF($E212="","",IF($O212=0,0,IFERROR($AH212/MAX(Weights!$B$8,$Y212)/MAX(Weights!$B$9,IF($Z212="",0,$Z212)), "")))</f>
        <v/>
      </c>
      <c r="AJ212" s="17"/>
    </row>
    <row r="213" ht="15.75" customHeight="1">
      <c r="A213" s="10"/>
      <c r="B213" s="39"/>
      <c r="C213" s="10"/>
      <c r="D213" s="10"/>
      <c r="E213" s="10"/>
      <c r="F213" s="10" t="str">
        <f>IF($E213="","",VLOOKUP($E213,Benchmark_URLs!$A$2:$L$46,4,FALSE))</f>
        <v/>
      </c>
      <c r="G213" s="10"/>
      <c r="H213" s="10" t="str">
        <f>IF($E213="","",VLOOKUP($E213,Benchmark_URLs!$A$2:$L$46,6,FALSE))</f>
        <v/>
      </c>
      <c r="I213" s="10" t="str">
        <f>IF($E213="","",VLOOKUP($E213,Benchmark_URLs!$A$2:$L$46,7,FALSE))</f>
        <v/>
      </c>
      <c r="J213" s="10" t="str">
        <f>IF($E213="","",VLOOKUP($E213,Benchmark_URLs!$A$2:$L$46,8,FALSE))</f>
        <v/>
      </c>
      <c r="K213" s="10" t="str">
        <f>IF($E213="","",VLOOKUP($E213,Benchmark_URLs!$A$2:$L$46,9,FALSE))</f>
        <v/>
      </c>
      <c r="L213" s="10" t="str">
        <f>IF($E213="","",VLOOKUP($E213,Benchmark_URLs!$A$2:$L$46,10,FALSE))</f>
        <v/>
      </c>
      <c r="M213" s="10" t="str">
        <f>IF($E213="","",VLOOKUP($E213,Benchmark_URLs!$A$2:$L$46,11,FALSE))</f>
        <v/>
      </c>
      <c r="N213" s="16"/>
      <c r="O213" s="16"/>
      <c r="P213" s="16"/>
      <c r="Q213" s="19"/>
      <c r="R213" s="19"/>
      <c r="S213" s="19"/>
      <c r="T213" s="16"/>
      <c r="U213" s="16"/>
      <c r="V213" s="16"/>
      <c r="W213" s="19"/>
      <c r="X213" s="19"/>
      <c r="Y213" s="20"/>
      <c r="Z213" s="20"/>
      <c r="AA213" s="10"/>
      <c r="AB213" s="10"/>
      <c r="AC213" s="15" t="str">
        <f t="shared" si="7"/>
        <v/>
      </c>
      <c r="AD213" s="15" t="str">
        <f t="shared" si="1"/>
        <v/>
      </c>
      <c r="AE213" s="16" t="str">
        <f t="shared" si="11"/>
        <v/>
      </c>
      <c r="AF213" s="16" t="str">
        <f>IF($E213="","",IF($H213="pdf",IFERROR(IF($X213&gt;=Weights!$B$10,1,0),0),1))</f>
        <v/>
      </c>
      <c r="AG213" s="16" t="str">
        <f t="shared" si="12"/>
        <v/>
      </c>
      <c r="AH213" s="15" t="str">
        <f>IF($E213="","",IFERROR((Weights!$B$2*$O213 + Weights!$B$3*$AE213 + Weights!$B$4*$AD213 + Weights!$B$5*(1-$AC213) + Weights!$B$6*$AF213 + Weights!$B$7*$AG213)/SUM(Weights!$B$2:$B$7),"" ))</f>
        <v/>
      </c>
      <c r="AI213" s="15" t="str">
        <f>IF($E213="","",IF($O213=0,0,IFERROR($AH213/MAX(Weights!$B$8,$Y213)/MAX(Weights!$B$9,IF($Z213="",0,$Z213)), "")))</f>
        <v/>
      </c>
      <c r="AJ213" s="17"/>
    </row>
    <row r="214" ht="15.75" customHeight="1">
      <c r="A214" s="10"/>
      <c r="B214" s="39"/>
      <c r="C214" s="10"/>
      <c r="D214" s="10"/>
      <c r="E214" s="10"/>
      <c r="F214" s="10" t="str">
        <f>IF($E214="","",VLOOKUP($E214,Benchmark_URLs!$A$2:$L$46,4,FALSE))</f>
        <v/>
      </c>
      <c r="G214" s="10"/>
      <c r="H214" s="10" t="str">
        <f>IF($E214="","",VLOOKUP($E214,Benchmark_URLs!$A$2:$L$46,6,FALSE))</f>
        <v/>
      </c>
      <c r="I214" s="10" t="str">
        <f>IF($E214="","",VLOOKUP($E214,Benchmark_URLs!$A$2:$L$46,7,FALSE))</f>
        <v/>
      </c>
      <c r="J214" s="10" t="str">
        <f>IF($E214="","",VLOOKUP($E214,Benchmark_URLs!$A$2:$L$46,8,FALSE))</f>
        <v/>
      </c>
      <c r="K214" s="10" t="str">
        <f>IF($E214="","",VLOOKUP($E214,Benchmark_URLs!$A$2:$L$46,9,FALSE))</f>
        <v/>
      </c>
      <c r="L214" s="10" t="str">
        <f>IF($E214="","",VLOOKUP($E214,Benchmark_URLs!$A$2:$L$46,10,FALSE))</f>
        <v/>
      </c>
      <c r="M214" s="10" t="str">
        <f>IF($E214="","",VLOOKUP($E214,Benchmark_URLs!$A$2:$L$46,11,FALSE))</f>
        <v/>
      </c>
      <c r="N214" s="16"/>
      <c r="O214" s="16"/>
      <c r="P214" s="16"/>
      <c r="Q214" s="19"/>
      <c r="R214" s="19"/>
      <c r="S214" s="19"/>
      <c r="T214" s="16"/>
      <c r="U214" s="16"/>
      <c r="V214" s="16"/>
      <c r="W214" s="19"/>
      <c r="X214" s="19"/>
      <c r="Y214" s="20"/>
      <c r="Z214" s="20"/>
      <c r="AA214" s="10"/>
      <c r="AB214" s="10"/>
      <c r="AC214" s="15" t="str">
        <f t="shared" si="7"/>
        <v/>
      </c>
      <c r="AD214" s="15" t="str">
        <f t="shared" si="1"/>
        <v/>
      </c>
      <c r="AE214" s="16" t="str">
        <f t="shared" si="11"/>
        <v/>
      </c>
      <c r="AF214" s="16" t="str">
        <f>IF($E214="","",IF($H214="pdf",IFERROR(IF($X214&gt;=Weights!$B$10,1,0),0),1))</f>
        <v/>
      </c>
      <c r="AG214" s="16" t="str">
        <f t="shared" si="12"/>
        <v/>
      </c>
      <c r="AH214" s="15" t="str">
        <f>IF($E214="","",IFERROR((Weights!$B$2*$O214 + Weights!$B$3*$AE214 + Weights!$B$4*$AD214 + Weights!$B$5*(1-$AC214) + Weights!$B$6*$AF214 + Weights!$B$7*$AG214)/SUM(Weights!$B$2:$B$7),"" ))</f>
        <v/>
      </c>
      <c r="AI214" s="15" t="str">
        <f>IF($E214="","",IF($O214=0,0,IFERROR($AH214/MAX(Weights!$B$8,$Y214)/MAX(Weights!$B$9,IF($Z214="",0,$Z214)), "")))</f>
        <v/>
      </c>
      <c r="AJ214" s="17"/>
    </row>
    <row r="215" ht="15.75" customHeight="1">
      <c r="A215" s="10"/>
      <c r="B215" s="39"/>
      <c r="C215" s="10"/>
      <c r="D215" s="10"/>
      <c r="E215" s="10"/>
      <c r="F215" s="10" t="str">
        <f>IF($E215="","",VLOOKUP($E215,Benchmark_URLs!$A$2:$L$46,4,FALSE))</f>
        <v/>
      </c>
      <c r="G215" s="10"/>
      <c r="H215" s="10" t="str">
        <f>IF($E215="","",VLOOKUP($E215,Benchmark_URLs!$A$2:$L$46,6,FALSE))</f>
        <v/>
      </c>
      <c r="I215" s="10" t="str">
        <f>IF($E215="","",VLOOKUP($E215,Benchmark_URLs!$A$2:$L$46,7,FALSE))</f>
        <v/>
      </c>
      <c r="J215" s="10" t="str">
        <f>IF($E215="","",VLOOKUP($E215,Benchmark_URLs!$A$2:$L$46,8,FALSE))</f>
        <v/>
      </c>
      <c r="K215" s="10" t="str">
        <f>IF($E215="","",VLOOKUP($E215,Benchmark_URLs!$A$2:$L$46,9,FALSE))</f>
        <v/>
      </c>
      <c r="L215" s="10" t="str">
        <f>IF($E215="","",VLOOKUP($E215,Benchmark_URLs!$A$2:$L$46,10,FALSE))</f>
        <v/>
      </c>
      <c r="M215" s="10" t="str">
        <f>IF($E215="","",VLOOKUP($E215,Benchmark_URLs!$A$2:$L$46,11,FALSE))</f>
        <v/>
      </c>
      <c r="N215" s="16"/>
      <c r="O215" s="16"/>
      <c r="P215" s="16"/>
      <c r="Q215" s="19"/>
      <c r="R215" s="19"/>
      <c r="S215" s="19"/>
      <c r="T215" s="16"/>
      <c r="U215" s="16"/>
      <c r="V215" s="16"/>
      <c r="W215" s="19"/>
      <c r="X215" s="19"/>
      <c r="Y215" s="20"/>
      <c r="Z215" s="20"/>
      <c r="AA215" s="10"/>
      <c r="AB215" s="10"/>
      <c r="AC215" s="15" t="str">
        <f t="shared" si="7"/>
        <v/>
      </c>
      <c r="AD215" s="15" t="str">
        <f t="shared" si="1"/>
        <v/>
      </c>
      <c r="AE215" s="16" t="str">
        <f t="shared" si="11"/>
        <v/>
      </c>
      <c r="AF215" s="16" t="str">
        <f>IF($E215="","",IF($H215="pdf",IFERROR(IF($X215&gt;=Weights!$B$10,1,0),0),1))</f>
        <v/>
      </c>
      <c r="AG215" s="16" t="str">
        <f t="shared" si="12"/>
        <v/>
      </c>
      <c r="AH215" s="15" t="str">
        <f>IF($E215="","",IFERROR((Weights!$B$2*$O215 + Weights!$B$3*$AE215 + Weights!$B$4*$AD215 + Weights!$B$5*(1-$AC215) + Weights!$B$6*$AF215 + Weights!$B$7*$AG215)/SUM(Weights!$B$2:$B$7),"" ))</f>
        <v/>
      </c>
      <c r="AI215" s="15" t="str">
        <f>IF($E215="","",IF($O215=0,0,IFERROR($AH215/MAX(Weights!$B$8,$Y215)/MAX(Weights!$B$9,IF($Z215="",0,$Z215)), "")))</f>
        <v/>
      </c>
      <c r="AJ215" s="17"/>
    </row>
    <row r="216" ht="15.75" customHeight="1">
      <c r="A216" s="10"/>
      <c r="B216" s="39"/>
      <c r="C216" s="10"/>
      <c r="D216" s="10"/>
      <c r="E216" s="10"/>
      <c r="F216" s="10" t="str">
        <f>IF($E216="","",VLOOKUP($E216,Benchmark_URLs!$A$2:$L$46,4,FALSE))</f>
        <v/>
      </c>
      <c r="G216" s="10"/>
      <c r="H216" s="10" t="str">
        <f>IF($E216="","",VLOOKUP($E216,Benchmark_URLs!$A$2:$L$46,6,FALSE))</f>
        <v/>
      </c>
      <c r="I216" s="10" t="str">
        <f>IF($E216="","",VLOOKUP($E216,Benchmark_URLs!$A$2:$L$46,7,FALSE))</f>
        <v/>
      </c>
      <c r="J216" s="10" t="str">
        <f>IF($E216="","",VLOOKUP($E216,Benchmark_URLs!$A$2:$L$46,8,FALSE))</f>
        <v/>
      </c>
      <c r="K216" s="10" t="str">
        <f>IF($E216="","",VLOOKUP($E216,Benchmark_URLs!$A$2:$L$46,9,FALSE))</f>
        <v/>
      </c>
      <c r="L216" s="10" t="str">
        <f>IF($E216="","",VLOOKUP($E216,Benchmark_URLs!$A$2:$L$46,10,FALSE))</f>
        <v/>
      </c>
      <c r="M216" s="10" t="str">
        <f>IF($E216="","",VLOOKUP($E216,Benchmark_URLs!$A$2:$L$46,11,FALSE))</f>
        <v/>
      </c>
      <c r="N216" s="16"/>
      <c r="O216" s="16"/>
      <c r="P216" s="16"/>
      <c r="Q216" s="19"/>
      <c r="R216" s="19"/>
      <c r="S216" s="19"/>
      <c r="T216" s="16"/>
      <c r="U216" s="16"/>
      <c r="V216" s="16"/>
      <c r="W216" s="19"/>
      <c r="X216" s="19"/>
      <c r="Y216" s="20"/>
      <c r="Z216" s="20"/>
      <c r="AA216" s="10"/>
      <c r="AB216" s="10"/>
      <c r="AC216" s="15" t="str">
        <f t="shared" si="7"/>
        <v/>
      </c>
      <c r="AD216" s="15" t="str">
        <f t="shared" si="1"/>
        <v/>
      </c>
      <c r="AE216" s="16" t="str">
        <f t="shared" si="11"/>
        <v/>
      </c>
      <c r="AF216" s="16" t="str">
        <f>IF($E216="","",IF($H216="pdf",IFERROR(IF($X216&gt;=Weights!$B$10,1,0),0),1))</f>
        <v/>
      </c>
      <c r="AG216" s="16" t="str">
        <f t="shared" si="12"/>
        <v/>
      </c>
      <c r="AH216" s="15" t="str">
        <f>IF($E216="","",IFERROR((Weights!$B$2*$O216 + Weights!$B$3*$AE216 + Weights!$B$4*$AD216 + Weights!$B$5*(1-$AC216) + Weights!$B$6*$AF216 + Weights!$B$7*$AG216)/SUM(Weights!$B$2:$B$7),"" ))</f>
        <v/>
      </c>
      <c r="AI216" s="15" t="str">
        <f>IF($E216="","",IF($O216=0,0,IFERROR($AH216/MAX(Weights!$B$8,$Y216)/MAX(Weights!$B$9,IF($Z216="",0,$Z216)), "")))</f>
        <v/>
      </c>
      <c r="AJ216" s="17"/>
    </row>
    <row r="217" ht="15.75" customHeight="1">
      <c r="A217" s="10"/>
      <c r="B217" s="39"/>
      <c r="C217" s="10"/>
      <c r="D217" s="10"/>
      <c r="E217" s="10"/>
      <c r="F217" s="10" t="str">
        <f>IF($E217="","",VLOOKUP($E217,Benchmark_URLs!$A$2:$L$46,4,FALSE))</f>
        <v/>
      </c>
      <c r="G217" s="10"/>
      <c r="H217" s="10" t="str">
        <f>IF($E217="","",VLOOKUP($E217,Benchmark_URLs!$A$2:$L$46,6,FALSE))</f>
        <v/>
      </c>
      <c r="I217" s="10" t="str">
        <f>IF($E217="","",VLOOKUP($E217,Benchmark_URLs!$A$2:$L$46,7,FALSE))</f>
        <v/>
      </c>
      <c r="J217" s="10" t="str">
        <f>IF($E217="","",VLOOKUP($E217,Benchmark_URLs!$A$2:$L$46,8,FALSE))</f>
        <v/>
      </c>
      <c r="K217" s="10" t="str">
        <f>IF($E217="","",VLOOKUP($E217,Benchmark_URLs!$A$2:$L$46,9,FALSE))</f>
        <v/>
      </c>
      <c r="L217" s="10" t="str">
        <f>IF($E217="","",VLOOKUP($E217,Benchmark_URLs!$A$2:$L$46,10,FALSE))</f>
        <v/>
      </c>
      <c r="M217" s="10" t="str">
        <f>IF($E217="","",VLOOKUP($E217,Benchmark_URLs!$A$2:$L$46,11,FALSE))</f>
        <v/>
      </c>
      <c r="N217" s="16"/>
      <c r="O217" s="16"/>
      <c r="P217" s="16"/>
      <c r="Q217" s="19"/>
      <c r="R217" s="19"/>
      <c r="S217" s="19"/>
      <c r="T217" s="16"/>
      <c r="U217" s="16"/>
      <c r="V217" s="16"/>
      <c r="W217" s="19"/>
      <c r="X217" s="19"/>
      <c r="Y217" s="20"/>
      <c r="Z217" s="20"/>
      <c r="AA217" s="10"/>
      <c r="AB217" s="10"/>
      <c r="AC217" s="15" t="str">
        <f t="shared" si="7"/>
        <v/>
      </c>
      <c r="AD217" s="15" t="str">
        <f t="shared" si="1"/>
        <v/>
      </c>
      <c r="AE217" s="16" t="str">
        <f t="shared" si="11"/>
        <v/>
      </c>
      <c r="AF217" s="16" t="str">
        <f>IF($E217="","",IF($H217="pdf",IFERROR(IF($X217&gt;=Weights!$B$10,1,0),0),1))</f>
        <v/>
      </c>
      <c r="AG217" s="16" t="str">
        <f t="shared" si="12"/>
        <v/>
      </c>
      <c r="AH217" s="15" t="str">
        <f>IF($E217="","",IFERROR((Weights!$B$2*$O217 + Weights!$B$3*$AE217 + Weights!$B$4*$AD217 + Weights!$B$5*(1-$AC217) + Weights!$B$6*$AF217 + Weights!$B$7*$AG217)/SUM(Weights!$B$2:$B$7),"" ))</f>
        <v/>
      </c>
      <c r="AI217" s="15" t="str">
        <f>IF($E217="","",IF($O217=0,0,IFERROR($AH217/MAX(Weights!$B$8,$Y217)/MAX(Weights!$B$9,IF($Z217="",0,$Z217)), "")))</f>
        <v/>
      </c>
      <c r="AJ217" s="17"/>
    </row>
    <row r="218" ht="15.75" customHeight="1">
      <c r="A218" s="10"/>
      <c r="B218" s="39"/>
      <c r="C218" s="10"/>
      <c r="D218" s="10"/>
      <c r="E218" s="10"/>
      <c r="F218" s="10" t="str">
        <f>IF($E218="","",VLOOKUP($E218,Benchmark_URLs!$A$2:$L$46,4,FALSE))</f>
        <v/>
      </c>
      <c r="G218" s="10"/>
      <c r="H218" s="10" t="str">
        <f>IF($E218="","",VLOOKUP($E218,Benchmark_URLs!$A$2:$L$46,6,FALSE))</f>
        <v/>
      </c>
      <c r="I218" s="10" t="str">
        <f>IF($E218="","",VLOOKUP($E218,Benchmark_URLs!$A$2:$L$46,7,FALSE))</f>
        <v/>
      </c>
      <c r="J218" s="10" t="str">
        <f>IF($E218="","",VLOOKUP($E218,Benchmark_URLs!$A$2:$L$46,8,FALSE))</f>
        <v/>
      </c>
      <c r="K218" s="10" t="str">
        <f>IF($E218="","",VLOOKUP($E218,Benchmark_URLs!$A$2:$L$46,9,FALSE))</f>
        <v/>
      </c>
      <c r="L218" s="10" t="str">
        <f>IF($E218="","",VLOOKUP($E218,Benchmark_URLs!$A$2:$L$46,10,FALSE))</f>
        <v/>
      </c>
      <c r="M218" s="10" t="str">
        <f>IF($E218="","",VLOOKUP($E218,Benchmark_URLs!$A$2:$L$46,11,FALSE))</f>
        <v/>
      </c>
      <c r="N218" s="16"/>
      <c r="O218" s="16"/>
      <c r="P218" s="16"/>
      <c r="Q218" s="19"/>
      <c r="R218" s="19"/>
      <c r="S218" s="19"/>
      <c r="T218" s="16"/>
      <c r="U218" s="16"/>
      <c r="V218" s="16"/>
      <c r="W218" s="19"/>
      <c r="X218" s="19"/>
      <c r="Y218" s="20"/>
      <c r="Z218" s="20"/>
      <c r="AA218" s="10"/>
      <c r="AB218" s="10"/>
      <c r="AC218" s="15" t="str">
        <f t="shared" si="7"/>
        <v/>
      </c>
      <c r="AD218" s="15" t="str">
        <f t="shared" si="1"/>
        <v/>
      </c>
      <c r="AE218" s="16" t="str">
        <f t="shared" si="11"/>
        <v/>
      </c>
      <c r="AF218" s="16" t="str">
        <f>IF($E218="","",IF($H218="pdf",IFERROR(IF($X218&gt;=Weights!$B$10,1,0),0),1))</f>
        <v/>
      </c>
      <c r="AG218" s="16" t="str">
        <f t="shared" si="12"/>
        <v/>
      </c>
      <c r="AH218" s="15" t="str">
        <f>IF($E218="","",IFERROR((Weights!$B$2*$O218 + Weights!$B$3*$AE218 + Weights!$B$4*$AD218 + Weights!$B$5*(1-$AC218) + Weights!$B$6*$AF218 + Weights!$B$7*$AG218)/SUM(Weights!$B$2:$B$7),"" ))</f>
        <v/>
      </c>
      <c r="AI218" s="15" t="str">
        <f>IF($E218="","",IF($O218=0,0,IFERROR($AH218/MAX(Weights!$B$8,$Y218)/MAX(Weights!$B$9,IF($Z218="",0,$Z218)), "")))</f>
        <v/>
      </c>
      <c r="AJ218" s="17"/>
    </row>
    <row r="219" ht="15.75" customHeight="1">
      <c r="A219" s="10"/>
      <c r="B219" s="39"/>
      <c r="C219" s="10"/>
      <c r="D219" s="10"/>
      <c r="E219" s="10"/>
      <c r="F219" s="10" t="str">
        <f>IF($E219="","",VLOOKUP($E219,Benchmark_URLs!$A$2:$L$46,4,FALSE))</f>
        <v/>
      </c>
      <c r="G219" s="10"/>
      <c r="H219" s="10" t="str">
        <f>IF($E219="","",VLOOKUP($E219,Benchmark_URLs!$A$2:$L$46,6,FALSE))</f>
        <v/>
      </c>
      <c r="I219" s="10" t="str">
        <f>IF($E219="","",VLOOKUP($E219,Benchmark_URLs!$A$2:$L$46,7,FALSE))</f>
        <v/>
      </c>
      <c r="J219" s="10" t="str">
        <f>IF($E219="","",VLOOKUP($E219,Benchmark_URLs!$A$2:$L$46,8,FALSE))</f>
        <v/>
      </c>
      <c r="K219" s="10" t="str">
        <f>IF($E219="","",VLOOKUP($E219,Benchmark_URLs!$A$2:$L$46,9,FALSE))</f>
        <v/>
      </c>
      <c r="L219" s="10" t="str">
        <f>IF($E219="","",VLOOKUP($E219,Benchmark_URLs!$A$2:$L$46,10,FALSE))</f>
        <v/>
      </c>
      <c r="M219" s="10" t="str">
        <f>IF($E219="","",VLOOKUP($E219,Benchmark_URLs!$A$2:$L$46,11,FALSE))</f>
        <v/>
      </c>
      <c r="N219" s="16"/>
      <c r="O219" s="16"/>
      <c r="P219" s="16"/>
      <c r="Q219" s="19"/>
      <c r="R219" s="19"/>
      <c r="S219" s="19"/>
      <c r="T219" s="16"/>
      <c r="U219" s="16"/>
      <c r="V219" s="16"/>
      <c r="W219" s="19"/>
      <c r="X219" s="19"/>
      <c r="Y219" s="20"/>
      <c r="Z219" s="20"/>
      <c r="AA219" s="10"/>
      <c r="AB219" s="10"/>
      <c r="AC219" s="15" t="str">
        <f t="shared" si="7"/>
        <v/>
      </c>
      <c r="AD219" s="15" t="str">
        <f t="shared" si="1"/>
        <v/>
      </c>
      <c r="AE219" s="16" t="str">
        <f t="shared" si="11"/>
        <v/>
      </c>
      <c r="AF219" s="16" t="str">
        <f>IF($E219="","",IF($H219="pdf",IFERROR(IF($X219&gt;=Weights!$B$10,1,0),0),1))</f>
        <v/>
      </c>
      <c r="AG219" s="16" t="str">
        <f t="shared" si="12"/>
        <v/>
      </c>
      <c r="AH219" s="15" t="str">
        <f>IF($E219="","",IFERROR((Weights!$B$2*$O219 + Weights!$B$3*$AE219 + Weights!$B$4*$AD219 + Weights!$B$5*(1-$AC219) + Weights!$B$6*$AF219 + Weights!$B$7*$AG219)/SUM(Weights!$B$2:$B$7),"" ))</f>
        <v/>
      </c>
      <c r="AI219" s="15" t="str">
        <f>IF($E219="","",IF($O219=0,0,IFERROR($AH219/MAX(Weights!$B$8,$Y219)/MAX(Weights!$B$9,IF($Z219="",0,$Z219)), "")))</f>
        <v/>
      </c>
      <c r="AJ219" s="17"/>
    </row>
    <row r="220" ht="15.75" customHeight="1">
      <c r="A220" s="10"/>
      <c r="B220" s="39"/>
      <c r="C220" s="10"/>
      <c r="D220" s="10"/>
      <c r="E220" s="10"/>
      <c r="F220" s="10" t="str">
        <f>IF($E220="","",VLOOKUP($E220,Benchmark_URLs!$A$2:$L$46,4,FALSE))</f>
        <v/>
      </c>
      <c r="G220" s="10"/>
      <c r="H220" s="10" t="str">
        <f>IF($E220="","",VLOOKUP($E220,Benchmark_URLs!$A$2:$L$46,6,FALSE))</f>
        <v/>
      </c>
      <c r="I220" s="10" t="str">
        <f>IF($E220="","",VLOOKUP($E220,Benchmark_URLs!$A$2:$L$46,7,FALSE))</f>
        <v/>
      </c>
      <c r="J220" s="10" t="str">
        <f>IF($E220="","",VLOOKUP($E220,Benchmark_URLs!$A$2:$L$46,8,FALSE))</f>
        <v/>
      </c>
      <c r="K220" s="10" t="str">
        <f>IF($E220="","",VLOOKUP($E220,Benchmark_URLs!$A$2:$L$46,9,FALSE))</f>
        <v/>
      </c>
      <c r="L220" s="10" t="str">
        <f>IF($E220="","",VLOOKUP($E220,Benchmark_URLs!$A$2:$L$46,10,FALSE))</f>
        <v/>
      </c>
      <c r="M220" s="10" t="str">
        <f>IF($E220="","",VLOOKUP($E220,Benchmark_URLs!$A$2:$L$46,11,FALSE))</f>
        <v/>
      </c>
      <c r="N220" s="16"/>
      <c r="O220" s="16"/>
      <c r="P220" s="16"/>
      <c r="Q220" s="19"/>
      <c r="R220" s="19"/>
      <c r="S220" s="19"/>
      <c r="T220" s="16"/>
      <c r="U220" s="16"/>
      <c r="V220" s="16"/>
      <c r="W220" s="19"/>
      <c r="X220" s="19"/>
      <c r="Y220" s="20"/>
      <c r="Z220" s="20"/>
      <c r="AA220" s="10"/>
      <c r="AB220" s="10"/>
      <c r="AC220" s="15" t="str">
        <f t="shared" si="7"/>
        <v/>
      </c>
      <c r="AD220" s="15" t="str">
        <f t="shared" si="1"/>
        <v/>
      </c>
      <c r="AE220" s="16" t="str">
        <f t="shared" si="11"/>
        <v/>
      </c>
      <c r="AF220" s="16" t="str">
        <f>IF($E220="","",IF($H220="pdf",IFERROR(IF($X220&gt;=Weights!$B$10,1,0),0),1))</f>
        <v/>
      </c>
      <c r="AG220" s="16" t="str">
        <f t="shared" si="12"/>
        <v/>
      </c>
      <c r="AH220" s="15" t="str">
        <f>IF($E220="","",IFERROR((Weights!$B$2*$O220 + Weights!$B$3*$AE220 + Weights!$B$4*$AD220 + Weights!$B$5*(1-$AC220) + Weights!$B$6*$AF220 + Weights!$B$7*$AG220)/SUM(Weights!$B$2:$B$7),"" ))</f>
        <v/>
      </c>
      <c r="AI220" s="15" t="str">
        <f>IF($E220="","",IF($O220=0,0,IFERROR($AH220/MAX(Weights!$B$8,$Y220)/MAX(Weights!$B$9,IF($Z220="",0,$Z220)), "")))</f>
        <v/>
      </c>
      <c r="AJ220" s="17"/>
    </row>
    <row r="221" ht="15.75" customHeight="1">
      <c r="A221" s="10"/>
      <c r="B221" s="39"/>
      <c r="C221" s="10"/>
      <c r="D221" s="10"/>
      <c r="E221" s="10"/>
      <c r="F221" s="10" t="str">
        <f>IF($E221="","",VLOOKUP($E221,Benchmark_URLs!$A$2:$L$46,4,FALSE))</f>
        <v/>
      </c>
      <c r="G221" s="10"/>
      <c r="H221" s="10" t="str">
        <f>IF($E221="","",VLOOKUP($E221,Benchmark_URLs!$A$2:$L$46,6,FALSE))</f>
        <v/>
      </c>
      <c r="I221" s="10" t="str">
        <f>IF($E221="","",VLOOKUP($E221,Benchmark_URLs!$A$2:$L$46,7,FALSE))</f>
        <v/>
      </c>
      <c r="J221" s="10" t="str">
        <f>IF($E221="","",VLOOKUP($E221,Benchmark_URLs!$A$2:$L$46,8,FALSE))</f>
        <v/>
      </c>
      <c r="K221" s="10" t="str">
        <f>IF($E221="","",VLOOKUP($E221,Benchmark_URLs!$A$2:$L$46,9,FALSE))</f>
        <v/>
      </c>
      <c r="L221" s="10" t="str">
        <f>IF($E221="","",VLOOKUP($E221,Benchmark_URLs!$A$2:$L$46,10,FALSE))</f>
        <v/>
      </c>
      <c r="M221" s="10" t="str">
        <f>IF($E221="","",VLOOKUP($E221,Benchmark_URLs!$A$2:$L$46,11,FALSE))</f>
        <v/>
      </c>
      <c r="N221" s="16"/>
      <c r="O221" s="16"/>
      <c r="P221" s="16"/>
      <c r="Q221" s="19"/>
      <c r="R221" s="19"/>
      <c r="S221" s="19"/>
      <c r="T221" s="16"/>
      <c r="U221" s="16"/>
      <c r="V221" s="16"/>
      <c r="W221" s="19"/>
      <c r="X221" s="19"/>
      <c r="Y221" s="20"/>
      <c r="Z221" s="20"/>
      <c r="AA221" s="10"/>
      <c r="AB221" s="10"/>
      <c r="AC221" s="15" t="str">
        <f t="shared" si="7"/>
        <v/>
      </c>
      <c r="AD221" s="15" t="str">
        <f t="shared" si="1"/>
        <v/>
      </c>
      <c r="AE221" s="16" t="str">
        <f t="shared" si="11"/>
        <v/>
      </c>
      <c r="AF221" s="16" t="str">
        <f>IF($E221="","",IF($H221="pdf",IFERROR(IF($X221&gt;=Weights!$B$10,1,0),0),1))</f>
        <v/>
      </c>
      <c r="AG221" s="16" t="str">
        <f t="shared" si="12"/>
        <v/>
      </c>
      <c r="AH221" s="15" t="str">
        <f>IF($E221="","",IFERROR((Weights!$B$2*$O221 + Weights!$B$3*$AE221 + Weights!$B$4*$AD221 + Weights!$B$5*(1-$AC221) + Weights!$B$6*$AF221 + Weights!$B$7*$AG221)/SUM(Weights!$B$2:$B$7),"" ))</f>
        <v/>
      </c>
      <c r="AI221" s="15" t="str">
        <f>IF($E221="","",IF($O221=0,0,IFERROR($AH221/MAX(Weights!$B$8,$Y221)/MAX(Weights!$B$9,IF($Z221="",0,$Z221)), "")))</f>
        <v/>
      </c>
      <c r="AJ221" s="17"/>
    </row>
    <row r="222" ht="15.75" customHeight="1">
      <c r="A222" s="10"/>
      <c r="B222" s="39"/>
      <c r="C222" s="10"/>
      <c r="D222" s="10"/>
      <c r="E222" s="10"/>
      <c r="F222" s="10" t="str">
        <f>IF($E222="","",VLOOKUP($E222,Benchmark_URLs!$A$2:$L$46,4,FALSE))</f>
        <v/>
      </c>
      <c r="G222" s="10"/>
      <c r="H222" s="10" t="str">
        <f>IF($E222="","",VLOOKUP($E222,Benchmark_URLs!$A$2:$L$46,6,FALSE))</f>
        <v/>
      </c>
      <c r="I222" s="10" t="str">
        <f>IF($E222="","",VLOOKUP($E222,Benchmark_URLs!$A$2:$L$46,7,FALSE))</f>
        <v/>
      </c>
      <c r="J222" s="10" t="str">
        <f>IF($E222="","",VLOOKUP($E222,Benchmark_URLs!$A$2:$L$46,8,FALSE))</f>
        <v/>
      </c>
      <c r="K222" s="10" t="str">
        <f>IF($E222="","",VLOOKUP($E222,Benchmark_URLs!$A$2:$L$46,9,FALSE))</f>
        <v/>
      </c>
      <c r="L222" s="10" t="str">
        <f>IF($E222="","",VLOOKUP($E222,Benchmark_URLs!$A$2:$L$46,10,FALSE))</f>
        <v/>
      </c>
      <c r="M222" s="10" t="str">
        <f>IF($E222="","",VLOOKUP($E222,Benchmark_URLs!$A$2:$L$46,11,FALSE))</f>
        <v/>
      </c>
      <c r="N222" s="16"/>
      <c r="O222" s="16"/>
      <c r="P222" s="16"/>
      <c r="Q222" s="19"/>
      <c r="R222" s="19"/>
      <c r="S222" s="19"/>
      <c r="T222" s="16"/>
      <c r="U222" s="16"/>
      <c r="V222" s="16"/>
      <c r="W222" s="19"/>
      <c r="X222" s="19"/>
      <c r="Y222" s="20"/>
      <c r="Z222" s="20"/>
      <c r="AA222" s="10"/>
      <c r="AB222" s="10"/>
      <c r="AC222" s="15" t="str">
        <f t="shared" si="7"/>
        <v/>
      </c>
      <c r="AD222" s="15" t="str">
        <f t="shared" si="1"/>
        <v/>
      </c>
      <c r="AE222" s="16" t="str">
        <f t="shared" si="11"/>
        <v/>
      </c>
      <c r="AF222" s="16" t="str">
        <f>IF($E222="","",IF($H222="pdf",IFERROR(IF($X222&gt;=Weights!$B$10,1,0),0),1))</f>
        <v/>
      </c>
      <c r="AG222" s="16" t="str">
        <f t="shared" si="12"/>
        <v/>
      </c>
      <c r="AH222" s="15" t="str">
        <f>IF($E222="","",IFERROR((Weights!$B$2*$O222 + Weights!$B$3*$AE222 + Weights!$B$4*$AD222 + Weights!$B$5*(1-$AC222) + Weights!$B$6*$AF222 + Weights!$B$7*$AG222)/SUM(Weights!$B$2:$B$7),"" ))</f>
        <v/>
      </c>
      <c r="AI222" s="15" t="str">
        <f>IF($E222="","",IF($O222=0,0,IFERROR($AH222/MAX(Weights!$B$8,$Y222)/MAX(Weights!$B$9,IF($Z222="",0,$Z222)), "")))</f>
        <v/>
      </c>
      <c r="AJ222" s="17"/>
    </row>
    <row r="223" ht="15.75" customHeight="1">
      <c r="A223" s="10"/>
      <c r="B223" s="39"/>
      <c r="C223" s="10"/>
      <c r="D223" s="10"/>
      <c r="E223" s="10"/>
      <c r="F223" s="10" t="str">
        <f>IF($E223="","",VLOOKUP($E223,Benchmark_URLs!$A$2:$L$46,4,FALSE))</f>
        <v/>
      </c>
      <c r="G223" s="10"/>
      <c r="H223" s="10" t="str">
        <f>IF($E223="","",VLOOKUP($E223,Benchmark_URLs!$A$2:$L$46,6,FALSE))</f>
        <v/>
      </c>
      <c r="I223" s="10" t="str">
        <f>IF($E223="","",VLOOKUP($E223,Benchmark_URLs!$A$2:$L$46,7,FALSE))</f>
        <v/>
      </c>
      <c r="J223" s="10" t="str">
        <f>IF($E223="","",VLOOKUP($E223,Benchmark_URLs!$A$2:$L$46,8,FALSE))</f>
        <v/>
      </c>
      <c r="K223" s="10" t="str">
        <f>IF($E223="","",VLOOKUP($E223,Benchmark_URLs!$A$2:$L$46,9,FALSE))</f>
        <v/>
      </c>
      <c r="L223" s="10" t="str">
        <f>IF($E223="","",VLOOKUP($E223,Benchmark_URLs!$A$2:$L$46,10,FALSE))</f>
        <v/>
      </c>
      <c r="M223" s="10" t="str">
        <f>IF($E223="","",VLOOKUP($E223,Benchmark_URLs!$A$2:$L$46,11,FALSE))</f>
        <v/>
      </c>
      <c r="N223" s="16"/>
      <c r="O223" s="16"/>
      <c r="P223" s="16"/>
      <c r="Q223" s="19"/>
      <c r="R223" s="19"/>
      <c r="S223" s="19"/>
      <c r="T223" s="16"/>
      <c r="U223" s="16"/>
      <c r="V223" s="16"/>
      <c r="W223" s="19"/>
      <c r="X223" s="19"/>
      <c r="Y223" s="20"/>
      <c r="Z223" s="20"/>
      <c r="AA223" s="10"/>
      <c r="AB223" s="10"/>
      <c r="AC223" s="15" t="str">
        <f t="shared" si="7"/>
        <v/>
      </c>
      <c r="AD223" s="15" t="str">
        <f t="shared" si="1"/>
        <v/>
      </c>
      <c r="AE223" s="16" t="str">
        <f t="shared" si="11"/>
        <v/>
      </c>
      <c r="AF223" s="16" t="str">
        <f>IF($E223="","",IF($H223="pdf",IFERROR(IF($X223&gt;=Weights!$B$10,1,0),0),1))</f>
        <v/>
      </c>
      <c r="AG223" s="16" t="str">
        <f t="shared" si="12"/>
        <v/>
      </c>
      <c r="AH223" s="15" t="str">
        <f>IF($E223="","",IFERROR((Weights!$B$2*$O223 + Weights!$B$3*$AE223 + Weights!$B$4*$AD223 + Weights!$B$5*(1-$AC223) + Weights!$B$6*$AF223 + Weights!$B$7*$AG223)/SUM(Weights!$B$2:$B$7),"" ))</f>
        <v/>
      </c>
      <c r="AI223" s="15" t="str">
        <f>IF($E223="","",IF($O223=0,0,IFERROR($AH223/MAX(Weights!$B$8,$Y223)/MAX(Weights!$B$9,IF($Z223="",0,$Z223)), "")))</f>
        <v/>
      </c>
      <c r="AJ223" s="17"/>
    </row>
    <row r="224" ht="15.75" customHeight="1">
      <c r="A224" s="10"/>
      <c r="B224" s="39"/>
      <c r="C224" s="10"/>
      <c r="D224" s="10"/>
      <c r="E224" s="10"/>
      <c r="F224" s="10" t="str">
        <f>IF($E224="","",VLOOKUP($E224,Benchmark_URLs!$A$2:$L$46,4,FALSE))</f>
        <v/>
      </c>
      <c r="G224" s="10"/>
      <c r="H224" s="10" t="str">
        <f>IF($E224="","",VLOOKUP($E224,Benchmark_URLs!$A$2:$L$46,6,FALSE))</f>
        <v/>
      </c>
      <c r="I224" s="10" t="str">
        <f>IF($E224="","",VLOOKUP($E224,Benchmark_URLs!$A$2:$L$46,7,FALSE))</f>
        <v/>
      </c>
      <c r="J224" s="10" t="str">
        <f>IF($E224="","",VLOOKUP($E224,Benchmark_URLs!$A$2:$L$46,8,FALSE))</f>
        <v/>
      </c>
      <c r="K224" s="10" t="str">
        <f>IF($E224="","",VLOOKUP($E224,Benchmark_URLs!$A$2:$L$46,9,FALSE))</f>
        <v/>
      </c>
      <c r="L224" s="10" t="str">
        <f>IF($E224="","",VLOOKUP($E224,Benchmark_URLs!$A$2:$L$46,10,FALSE))</f>
        <v/>
      </c>
      <c r="M224" s="10" t="str">
        <f>IF($E224="","",VLOOKUP($E224,Benchmark_URLs!$A$2:$L$46,11,FALSE))</f>
        <v/>
      </c>
      <c r="N224" s="16"/>
      <c r="O224" s="16"/>
      <c r="P224" s="16"/>
      <c r="Q224" s="19"/>
      <c r="R224" s="19"/>
      <c r="S224" s="19"/>
      <c r="T224" s="16"/>
      <c r="U224" s="16"/>
      <c r="V224" s="16"/>
      <c r="W224" s="19"/>
      <c r="X224" s="19"/>
      <c r="Y224" s="20"/>
      <c r="Z224" s="20"/>
      <c r="AA224" s="10"/>
      <c r="AB224" s="10"/>
      <c r="AC224" s="15" t="str">
        <f t="shared" si="7"/>
        <v/>
      </c>
      <c r="AD224" s="15" t="str">
        <f t="shared" si="1"/>
        <v/>
      </c>
      <c r="AE224" s="16" t="str">
        <f t="shared" si="11"/>
        <v/>
      </c>
      <c r="AF224" s="16" t="str">
        <f>IF($E224="","",IF($H224="pdf",IFERROR(IF($X224&gt;=Weights!$B$10,1,0),0),1))</f>
        <v/>
      </c>
      <c r="AG224" s="16" t="str">
        <f t="shared" si="12"/>
        <v/>
      </c>
      <c r="AH224" s="15" t="str">
        <f>IF($E224="","",IFERROR((Weights!$B$2*$O224 + Weights!$B$3*$AE224 + Weights!$B$4*$AD224 + Weights!$B$5*(1-$AC224) + Weights!$B$6*$AF224 + Weights!$B$7*$AG224)/SUM(Weights!$B$2:$B$7),"" ))</f>
        <v/>
      </c>
      <c r="AI224" s="15" t="str">
        <f>IF($E224="","",IF($O224=0,0,IFERROR($AH224/MAX(Weights!$B$8,$Y224)/MAX(Weights!$B$9,IF($Z224="",0,$Z224)), "")))</f>
        <v/>
      </c>
      <c r="AJ224" s="17"/>
    </row>
    <row r="225" ht="15.75" customHeight="1">
      <c r="A225" s="10"/>
      <c r="B225" s="39"/>
      <c r="C225" s="10"/>
      <c r="D225" s="10"/>
      <c r="E225" s="10"/>
      <c r="F225" s="10" t="str">
        <f>IF($E225="","",VLOOKUP($E225,Benchmark_URLs!$A$2:$L$46,4,FALSE))</f>
        <v/>
      </c>
      <c r="G225" s="10"/>
      <c r="H225" s="10" t="str">
        <f>IF($E225="","",VLOOKUP($E225,Benchmark_URLs!$A$2:$L$46,6,FALSE))</f>
        <v/>
      </c>
      <c r="I225" s="10" t="str">
        <f>IF($E225="","",VLOOKUP($E225,Benchmark_URLs!$A$2:$L$46,7,FALSE))</f>
        <v/>
      </c>
      <c r="J225" s="10" t="str">
        <f>IF($E225="","",VLOOKUP($E225,Benchmark_URLs!$A$2:$L$46,8,FALSE))</f>
        <v/>
      </c>
      <c r="K225" s="10" t="str">
        <f>IF($E225="","",VLOOKUP($E225,Benchmark_URLs!$A$2:$L$46,9,FALSE))</f>
        <v/>
      </c>
      <c r="L225" s="10" t="str">
        <f>IF($E225="","",VLOOKUP($E225,Benchmark_URLs!$A$2:$L$46,10,FALSE))</f>
        <v/>
      </c>
      <c r="M225" s="10" t="str">
        <f>IF($E225="","",VLOOKUP($E225,Benchmark_URLs!$A$2:$L$46,11,FALSE))</f>
        <v/>
      </c>
      <c r="N225" s="16"/>
      <c r="O225" s="16"/>
      <c r="P225" s="16"/>
      <c r="Q225" s="19"/>
      <c r="R225" s="19"/>
      <c r="S225" s="19"/>
      <c r="T225" s="16"/>
      <c r="U225" s="16"/>
      <c r="V225" s="16"/>
      <c r="W225" s="19"/>
      <c r="X225" s="19"/>
      <c r="Y225" s="20"/>
      <c r="Z225" s="20"/>
      <c r="AA225" s="10"/>
      <c r="AB225" s="10"/>
      <c r="AC225" s="15" t="str">
        <f t="shared" si="7"/>
        <v/>
      </c>
      <c r="AD225" s="15" t="str">
        <f t="shared" si="1"/>
        <v/>
      </c>
      <c r="AE225" s="16" t="str">
        <f t="shared" si="11"/>
        <v/>
      </c>
      <c r="AF225" s="16" t="str">
        <f>IF($E225="","",IF($H225="pdf",IFERROR(IF($X225&gt;=Weights!$B$10,1,0),0),1))</f>
        <v/>
      </c>
      <c r="AG225" s="16" t="str">
        <f t="shared" si="12"/>
        <v/>
      </c>
      <c r="AH225" s="15" t="str">
        <f>IF($E225="","",IFERROR((Weights!$B$2*$O225 + Weights!$B$3*$AE225 + Weights!$B$4*$AD225 + Weights!$B$5*(1-$AC225) + Weights!$B$6*$AF225 + Weights!$B$7*$AG225)/SUM(Weights!$B$2:$B$7),"" ))</f>
        <v/>
      </c>
      <c r="AI225" s="15" t="str">
        <f>IF($E225="","",IF($O225=0,0,IFERROR($AH225/MAX(Weights!$B$8,$Y225)/MAX(Weights!$B$9,IF($Z225="",0,$Z225)), "")))</f>
        <v/>
      </c>
      <c r="AJ225" s="17"/>
    </row>
    <row r="226" ht="15.75" customHeight="1">
      <c r="A226" s="10"/>
      <c r="B226" s="39"/>
      <c r="C226" s="10"/>
      <c r="D226" s="10"/>
      <c r="E226" s="10"/>
      <c r="F226" s="10" t="str">
        <f>IF($E226="","",VLOOKUP($E226,Benchmark_URLs!$A$2:$L$46,4,FALSE))</f>
        <v/>
      </c>
      <c r="G226" s="10"/>
      <c r="H226" s="10" t="str">
        <f>IF($E226="","",VLOOKUP($E226,Benchmark_URLs!$A$2:$L$46,6,FALSE))</f>
        <v/>
      </c>
      <c r="I226" s="10" t="str">
        <f>IF($E226="","",VLOOKUP($E226,Benchmark_URLs!$A$2:$L$46,7,FALSE))</f>
        <v/>
      </c>
      <c r="J226" s="10" t="str">
        <f>IF($E226="","",VLOOKUP($E226,Benchmark_URLs!$A$2:$L$46,8,FALSE))</f>
        <v/>
      </c>
      <c r="K226" s="10" t="str">
        <f>IF($E226="","",VLOOKUP($E226,Benchmark_URLs!$A$2:$L$46,9,FALSE))</f>
        <v/>
      </c>
      <c r="L226" s="10" t="str">
        <f>IF($E226="","",VLOOKUP($E226,Benchmark_URLs!$A$2:$L$46,10,FALSE))</f>
        <v/>
      </c>
      <c r="M226" s="10" t="str">
        <f>IF($E226="","",VLOOKUP($E226,Benchmark_URLs!$A$2:$L$46,11,FALSE))</f>
        <v/>
      </c>
      <c r="N226" s="16"/>
      <c r="O226" s="16"/>
      <c r="P226" s="16"/>
      <c r="Q226" s="19"/>
      <c r="R226" s="19"/>
      <c r="S226" s="19"/>
      <c r="T226" s="16"/>
      <c r="U226" s="16"/>
      <c r="V226" s="16"/>
      <c r="W226" s="19"/>
      <c r="X226" s="19"/>
      <c r="Y226" s="20"/>
      <c r="Z226" s="20"/>
      <c r="AA226" s="10"/>
      <c r="AB226" s="10"/>
      <c r="AC226" s="15" t="str">
        <f t="shared" si="7"/>
        <v/>
      </c>
      <c r="AD226" s="15" t="str">
        <f t="shared" si="1"/>
        <v/>
      </c>
      <c r="AE226" s="16" t="str">
        <f t="shared" si="11"/>
        <v/>
      </c>
      <c r="AF226" s="16" t="str">
        <f>IF($E226="","",IF($H226="pdf",IFERROR(IF($X226&gt;=Weights!$B$10,1,0),0),1))</f>
        <v/>
      </c>
      <c r="AG226" s="16" t="str">
        <f t="shared" si="12"/>
        <v/>
      </c>
      <c r="AH226" s="15" t="str">
        <f>IF($E226="","",IFERROR((Weights!$B$2*$O226 + Weights!$B$3*$AE226 + Weights!$B$4*$AD226 + Weights!$B$5*(1-$AC226) + Weights!$B$6*$AF226 + Weights!$B$7*$AG226)/SUM(Weights!$B$2:$B$7),"" ))</f>
        <v/>
      </c>
      <c r="AI226" s="15" t="str">
        <f>IF($E226="","",IF($O226=0,0,IFERROR($AH226/MAX(Weights!$B$8,$Y226)/MAX(Weights!$B$9,IF($Z226="",0,$Z226)), "")))</f>
        <v/>
      </c>
      <c r="AJ226" s="17"/>
    </row>
    <row r="227" ht="15.75" customHeight="1">
      <c r="A227" s="10"/>
      <c r="B227" s="39"/>
      <c r="C227" s="10"/>
      <c r="D227" s="10"/>
      <c r="E227" s="10"/>
      <c r="F227" s="10" t="str">
        <f>IF($E227="","",VLOOKUP($E227,Benchmark_URLs!$A$2:$L$46,4,FALSE))</f>
        <v/>
      </c>
      <c r="G227" s="10"/>
      <c r="H227" s="10" t="str">
        <f>IF($E227="","",VLOOKUP($E227,Benchmark_URLs!$A$2:$L$46,6,FALSE))</f>
        <v/>
      </c>
      <c r="I227" s="10" t="str">
        <f>IF($E227="","",VLOOKUP($E227,Benchmark_URLs!$A$2:$L$46,7,FALSE))</f>
        <v/>
      </c>
      <c r="J227" s="10" t="str">
        <f>IF($E227="","",VLOOKUP($E227,Benchmark_URLs!$A$2:$L$46,8,FALSE))</f>
        <v/>
      </c>
      <c r="K227" s="10" t="str">
        <f>IF($E227="","",VLOOKUP($E227,Benchmark_URLs!$A$2:$L$46,9,FALSE))</f>
        <v/>
      </c>
      <c r="L227" s="10" t="str">
        <f>IF($E227="","",VLOOKUP($E227,Benchmark_URLs!$A$2:$L$46,10,FALSE))</f>
        <v/>
      </c>
      <c r="M227" s="10" t="str">
        <f>IF($E227="","",VLOOKUP($E227,Benchmark_URLs!$A$2:$L$46,11,FALSE))</f>
        <v/>
      </c>
      <c r="N227" s="16"/>
      <c r="O227" s="16"/>
      <c r="P227" s="16"/>
      <c r="Q227" s="19"/>
      <c r="R227" s="19"/>
      <c r="S227" s="19"/>
      <c r="T227" s="16"/>
      <c r="U227" s="16"/>
      <c r="V227" s="16"/>
      <c r="W227" s="19"/>
      <c r="X227" s="19"/>
      <c r="Y227" s="20"/>
      <c r="Z227" s="20"/>
      <c r="AA227" s="10"/>
      <c r="AB227" s="10"/>
      <c r="AC227" s="15" t="str">
        <f t="shared" si="7"/>
        <v/>
      </c>
      <c r="AD227" s="15" t="str">
        <f t="shared" si="1"/>
        <v/>
      </c>
      <c r="AE227" s="16" t="str">
        <f t="shared" si="11"/>
        <v/>
      </c>
      <c r="AF227" s="16" t="str">
        <f>IF($E227="","",IF($H227="pdf",IFERROR(IF($X227&gt;=Weights!$B$10,1,0),0),1))</f>
        <v/>
      </c>
      <c r="AG227" s="16" t="str">
        <f t="shared" si="12"/>
        <v/>
      </c>
      <c r="AH227" s="15" t="str">
        <f>IF($E227="","",IFERROR((Weights!$B$2*$O227 + Weights!$B$3*$AE227 + Weights!$B$4*$AD227 + Weights!$B$5*(1-$AC227) + Weights!$B$6*$AF227 + Weights!$B$7*$AG227)/SUM(Weights!$B$2:$B$7),"" ))</f>
        <v/>
      </c>
      <c r="AI227" s="15" t="str">
        <f>IF($E227="","",IF($O227=0,0,IFERROR($AH227/MAX(Weights!$B$8,$Y227)/MAX(Weights!$B$9,IF($Z227="",0,$Z227)), "")))</f>
        <v/>
      </c>
      <c r="AJ227" s="17"/>
    </row>
    <row r="228" ht="15.75" customHeight="1">
      <c r="A228" s="10"/>
      <c r="B228" s="39"/>
      <c r="C228" s="10"/>
      <c r="D228" s="10"/>
      <c r="E228" s="10"/>
      <c r="F228" s="10" t="str">
        <f>IF($E228="","",VLOOKUP($E228,Benchmark_URLs!$A$2:$L$46,4,FALSE))</f>
        <v/>
      </c>
      <c r="G228" s="10"/>
      <c r="H228" s="10" t="str">
        <f>IF($E228="","",VLOOKUP($E228,Benchmark_URLs!$A$2:$L$46,6,FALSE))</f>
        <v/>
      </c>
      <c r="I228" s="10" t="str">
        <f>IF($E228="","",VLOOKUP($E228,Benchmark_URLs!$A$2:$L$46,7,FALSE))</f>
        <v/>
      </c>
      <c r="J228" s="10" t="str">
        <f>IF($E228="","",VLOOKUP($E228,Benchmark_URLs!$A$2:$L$46,8,FALSE))</f>
        <v/>
      </c>
      <c r="K228" s="10" t="str">
        <f>IF($E228="","",VLOOKUP($E228,Benchmark_URLs!$A$2:$L$46,9,FALSE))</f>
        <v/>
      </c>
      <c r="L228" s="10" t="str">
        <f>IF($E228="","",VLOOKUP($E228,Benchmark_URLs!$A$2:$L$46,10,FALSE))</f>
        <v/>
      </c>
      <c r="M228" s="10" t="str">
        <f>IF($E228="","",VLOOKUP($E228,Benchmark_URLs!$A$2:$L$46,11,FALSE))</f>
        <v/>
      </c>
      <c r="N228" s="16"/>
      <c r="O228" s="16"/>
      <c r="P228" s="16"/>
      <c r="Q228" s="19"/>
      <c r="R228" s="19"/>
      <c r="S228" s="19"/>
      <c r="T228" s="16"/>
      <c r="U228" s="16"/>
      <c r="V228" s="16"/>
      <c r="W228" s="19"/>
      <c r="X228" s="19"/>
      <c r="Y228" s="20"/>
      <c r="Z228" s="20"/>
      <c r="AA228" s="10"/>
      <c r="AB228" s="10"/>
      <c r="AC228" s="15" t="str">
        <f t="shared" si="7"/>
        <v/>
      </c>
      <c r="AD228" s="15" t="str">
        <f t="shared" si="1"/>
        <v/>
      </c>
      <c r="AE228" s="16" t="str">
        <f t="shared" si="11"/>
        <v/>
      </c>
      <c r="AF228" s="16" t="str">
        <f>IF($E228="","",IF($H228="pdf",IFERROR(IF($X228&gt;=Weights!$B$10,1,0),0),1))</f>
        <v/>
      </c>
      <c r="AG228" s="16" t="str">
        <f t="shared" si="12"/>
        <v/>
      </c>
      <c r="AH228" s="15" t="str">
        <f>IF($E228="","",IFERROR((Weights!$B$2*$O228 + Weights!$B$3*$AE228 + Weights!$B$4*$AD228 + Weights!$B$5*(1-$AC228) + Weights!$B$6*$AF228 + Weights!$B$7*$AG228)/SUM(Weights!$B$2:$B$7),"" ))</f>
        <v/>
      </c>
      <c r="AI228" s="15" t="str">
        <f>IF($E228="","",IF($O228=0,0,IFERROR($AH228/MAX(Weights!$B$8,$Y228)/MAX(Weights!$B$9,IF($Z228="",0,$Z228)), "")))</f>
        <v/>
      </c>
      <c r="AJ228" s="17"/>
    </row>
    <row r="229" ht="15.75" customHeight="1">
      <c r="A229" s="10"/>
      <c r="B229" s="39"/>
      <c r="C229" s="10"/>
      <c r="D229" s="10"/>
      <c r="E229" s="10"/>
      <c r="F229" s="10" t="str">
        <f>IF($E229="","",VLOOKUP($E229,Benchmark_URLs!$A$2:$L$46,4,FALSE))</f>
        <v/>
      </c>
      <c r="G229" s="10"/>
      <c r="H229" s="10" t="str">
        <f>IF($E229="","",VLOOKUP($E229,Benchmark_URLs!$A$2:$L$46,6,FALSE))</f>
        <v/>
      </c>
      <c r="I229" s="10" t="str">
        <f>IF($E229="","",VLOOKUP($E229,Benchmark_URLs!$A$2:$L$46,7,FALSE))</f>
        <v/>
      </c>
      <c r="J229" s="10" t="str">
        <f>IF($E229="","",VLOOKUP($E229,Benchmark_URLs!$A$2:$L$46,8,FALSE))</f>
        <v/>
      </c>
      <c r="K229" s="10" t="str">
        <f>IF($E229="","",VLOOKUP($E229,Benchmark_URLs!$A$2:$L$46,9,FALSE))</f>
        <v/>
      </c>
      <c r="L229" s="10" t="str">
        <f>IF($E229="","",VLOOKUP($E229,Benchmark_URLs!$A$2:$L$46,10,FALSE))</f>
        <v/>
      </c>
      <c r="M229" s="10" t="str">
        <f>IF($E229="","",VLOOKUP($E229,Benchmark_URLs!$A$2:$L$46,11,FALSE))</f>
        <v/>
      </c>
      <c r="N229" s="16"/>
      <c r="O229" s="16"/>
      <c r="P229" s="16"/>
      <c r="Q229" s="19"/>
      <c r="R229" s="19"/>
      <c r="S229" s="19"/>
      <c r="T229" s="16"/>
      <c r="U229" s="16"/>
      <c r="V229" s="16"/>
      <c r="W229" s="19"/>
      <c r="X229" s="19"/>
      <c r="Y229" s="20"/>
      <c r="Z229" s="20"/>
      <c r="AA229" s="10"/>
      <c r="AB229" s="10"/>
      <c r="AC229" s="15" t="str">
        <f t="shared" si="7"/>
        <v/>
      </c>
      <c r="AD229" s="15" t="str">
        <f t="shared" si="1"/>
        <v/>
      </c>
      <c r="AE229" s="16" t="str">
        <f t="shared" si="11"/>
        <v/>
      </c>
      <c r="AF229" s="16" t="str">
        <f>IF($E229="","",IF($H229="pdf",IFERROR(IF($X229&gt;=Weights!$B$10,1,0),0),1))</f>
        <v/>
      </c>
      <c r="AG229" s="16" t="str">
        <f t="shared" si="12"/>
        <v/>
      </c>
      <c r="AH229" s="15" t="str">
        <f>IF($E229="","",IFERROR((Weights!$B$2*$O229 + Weights!$B$3*$AE229 + Weights!$B$4*$AD229 + Weights!$B$5*(1-$AC229) + Weights!$B$6*$AF229 + Weights!$B$7*$AG229)/SUM(Weights!$B$2:$B$7),"" ))</f>
        <v/>
      </c>
      <c r="AI229" s="15" t="str">
        <f>IF($E229="","",IF($O229=0,0,IFERROR($AH229/MAX(Weights!$B$8,$Y229)/MAX(Weights!$B$9,IF($Z229="",0,$Z229)), "")))</f>
        <v/>
      </c>
      <c r="AJ229" s="17"/>
    </row>
    <row r="230" ht="15.75" customHeight="1">
      <c r="A230" s="10"/>
      <c r="B230" s="39"/>
      <c r="C230" s="10"/>
      <c r="D230" s="10"/>
      <c r="E230" s="10"/>
      <c r="F230" s="10" t="str">
        <f>IF($E230="","",VLOOKUP($E230,Benchmark_URLs!$A$2:$L$46,4,FALSE))</f>
        <v/>
      </c>
      <c r="G230" s="10"/>
      <c r="H230" s="10" t="str">
        <f>IF($E230="","",VLOOKUP($E230,Benchmark_URLs!$A$2:$L$46,6,FALSE))</f>
        <v/>
      </c>
      <c r="I230" s="10" t="str">
        <f>IF($E230="","",VLOOKUP($E230,Benchmark_URLs!$A$2:$L$46,7,FALSE))</f>
        <v/>
      </c>
      <c r="J230" s="10" t="str">
        <f>IF($E230="","",VLOOKUP($E230,Benchmark_URLs!$A$2:$L$46,8,FALSE))</f>
        <v/>
      </c>
      <c r="K230" s="10" t="str">
        <f>IF($E230="","",VLOOKUP($E230,Benchmark_URLs!$A$2:$L$46,9,FALSE))</f>
        <v/>
      </c>
      <c r="L230" s="10" t="str">
        <f>IF($E230="","",VLOOKUP($E230,Benchmark_URLs!$A$2:$L$46,10,FALSE))</f>
        <v/>
      </c>
      <c r="M230" s="10" t="str">
        <f>IF($E230="","",VLOOKUP($E230,Benchmark_URLs!$A$2:$L$46,11,FALSE))</f>
        <v/>
      </c>
      <c r="N230" s="16"/>
      <c r="O230" s="16"/>
      <c r="P230" s="16"/>
      <c r="Q230" s="19"/>
      <c r="R230" s="19"/>
      <c r="S230" s="19"/>
      <c r="T230" s="16"/>
      <c r="U230" s="16"/>
      <c r="V230" s="16"/>
      <c r="W230" s="19"/>
      <c r="X230" s="19"/>
      <c r="Y230" s="20"/>
      <c r="Z230" s="20"/>
      <c r="AA230" s="10"/>
      <c r="AB230" s="10"/>
      <c r="AC230" s="15" t="str">
        <f t="shared" si="7"/>
        <v/>
      </c>
      <c r="AD230" s="15" t="str">
        <f t="shared" si="1"/>
        <v/>
      </c>
      <c r="AE230" s="16" t="str">
        <f t="shared" si="11"/>
        <v/>
      </c>
      <c r="AF230" s="16" t="str">
        <f>IF($E230="","",IF($H230="pdf",IFERROR(IF($X230&gt;=Weights!$B$10,1,0),0),1))</f>
        <v/>
      </c>
      <c r="AG230" s="16" t="str">
        <f t="shared" si="12"/>
        <v/>
      </c>
      <c r="AH230" s="15" t="str">
        <f>IF($E230="","",IFERROR((Weights!$B$2*$O230 + Weights!$B$3*$AE230 + Weights!$B$4*$AD230 + Weights!$B$5*(1-$AC230) + Weights!$B$6*$AF230 + Weights!$B$7*$AG230)/SUM(Weights!$B$2:$B$7),"" ))</f>
        <v/>
      </c>
      <c r="AI230" s="15" t="str">
        <f>IF($E230="","",IF($O230=0,0,IFERROR($AH230/MAX(Weights!$B$8,$Y230)/MAX(Weights!$B$9,IF($Z230="",0,$Z230)), "")))</f>
        <v/>
      </c>
      <c r="AJ230" s="17"/>
    </row>
    <row r="231" ht="15.75" customHeight="1">
      <c r="A231" s="10"/>
      <c r="B231" s="39"/>
      <c r="C231" s="10"/>
      <c r="D231" s="10"/>
      <c r="E231" s="10"/>
      <c r="F231" s="10" t="str">
        <f>IF($E231="","",VLOOKUP($E231,Benchmark_URLs!$A$2:$L$46,4,FALSE))</f>
        <v/>
      </c>
      <c r="G231" s="10"/>
      <c r="H231" s="10" t="str">
        <f>IF($E231="","",VLOOKUP($E231,Benchmark_URLs!$A$2:$L$46,6,FALSE))</f>
        <v/>
      </c>
      <c r="I231" s="10" t="str">
        <f>IF($E231="","",VLOOKUP($E231,Benchmark_URLs!$A$2:$L$46,7,FALSE))</f>
        <v/>
      </c>
      <c r="J231" s="10" t="str">
        <f>IF($E231="","",VLOOKUP($E231,Benchmark_URLs!$A$2:$L$46,8,FALSE))</f>
        <v/>
      </c>
      <c r="K231" s="10" t="str">
        <f>IF($E231="","",VLOOKUP($E231,Benchmark_URLs!$A$2:$L$46,9,FALSE))</f>
        <v/>
      </c>
      <c r="L231" s="10" t="str">
        <f>IF($E231="","",VLOOKUP($E231,Benchmark_URLs!$A$2:$L$46,10,FALSE))</f>
        <v/>
      </c>
      <c r="M231" s="10" t="str">
        <f>IF($E231="","",VLOOKUP($E231,Benchmark_URLs!$A$2:$L$46,11,FALSE))</f>
        <v/>
      </c>
      <c r="N231" s="16"/>
      <c r="O231" s="16"/>
      <c r="P231" s="16"/>
      <c r="Q231" s="19"/>
      <c r="R231" s="19"/>
      <c r="S231" s="19"/>
      <c r="T231" s="16"/>
      <c r="U231" s="16"/>
      <c r="V231" s="16"/>
      <c r="W231" s="19"/>
      <c r="X231" s="19"/>
      <c r="Y231" s="20"/>
      <c r="Z231" s="20"/>
      <c r="AA231" s="10"/>
      <c r="AB231" s="10"/>
      <c r="AC231" s="15" t="str">
        <f t="shared" si="7"/>
        <v/>
      </c>
      <c r="AD231" s="15" t="str">
        <f t="shared" si="1"/>
        <v/>
      </c>
      <c r="AE231" s="16" t="str">
        <f t="shared" si="11"/>
        <v/>
      </c>
      <c r="AF231" s="16" t="str">
        <f>IF($E231="","",IF($H231="pdf",IFERROR(IF($X231&gt;=Weights!$B$10,1,0),0),1))</f>
        <v/>
      </c>
      <c r="AG231" s="16" t="str">
        <f t="shared" si="12"/>
        <v/>
      </c>
      <c r="AH231" s="15" t="str">
        <f>IF($E231="","",IFERROR((Weights!$B$2*$O231 + Weights!$B$3*$AE231 + Weights!$B$4*$AD231 + Weights!$B$5*(1-$AC231) + Weights!$B$6*$AF231 + Weights!$B$7*$AG231)/SUM(Weights!$B$2:$B$7),"" ))</f>
        <v/>
      </c>
      <c r="AI231" s="15" t="str">
        <f>IF($E231="","",IF($O231=0,0,IFERROR($AH231/MAX(Weights!$B$8,$Y231)/MAX(Weights!$B$9,IF($Z231="",0,$Z231)), "")))</f>
        <v/>
      </c>
      <c r="AJ231" s="17"/>
    </row>
    <row r="232" ht="15.75" customHeight="1">
      <c r="A232" s="10"/>
      <c r="B232" s="39"/>
      <c r="C232" s="10"/>
      <c r="D232" s="10"/>
      <c r="E232" s="10"/>
      <c r="F232" s="10" t="str">
        <f>IF($E232="","",VLOOKUP($E232,Benchmark_URLs!$A$2:$L$46,4,FALSE))</f>
        <v/>
      </c>
      <c r="G232" s="10"/>
      <c r="H232" s="10" t="str">
        <f>IF($E232="","",VLOOKUP($E232,Benchmark_URLs!$A$2:$L$46,6,FALSE))</f>
        <v/>
      </c>
      <c r="I232" s="10" t="str">
        <f>IF($E232="","",VLOOKUP($E232,Benchmark_URLs!$A$2:$L$46,7,FALSE))</f>
        <v/>
      </c>
      <c r="J232" s="10" t="str">
        <f>IF($E232="","",VLOOKUP($E232,Benchmark_URLs!$A$2:$L$46,8,FALSE))</f>
        <v/>
      </c>
      <c r="K232" s="10" t="str">
        <f>IF($E232="","",VLOOKUP($E232,Benchmark_URLs!$A$2:$L$46,9,FALSE))</f>
        <v/>
      </c>
      <c r="L232" s="10" t="str">
        <f>IF($E232="","",VLOOKUP($E232,Benchmark_URLs!$A$2:$L$46,10,FALSE))</f>
        <v/>
      </c>
      <c r="M232" s="10" t="str">
        <f>IF($E232="","",VLOOKUP($E232,Benchmark_URLs!$A$2:$L$46,11,FALSE))</f>
        <v/>
      </c>
      <c r="N232" s="16"/>
      <c r="O232" s="16"/>
      <c r="P232" s="16"/>
      <c r="Q232" s="19"/>
      <c r="R232" s="19"/>
      <c r="S232" s="19"/>
      <c r="T232" s="16"/>
      <c r="U232" s="16"/>
      <c r="V232" s="16"/>
      <c r="W232" s="19"/>
      <c r="X232" s="19"/>
      <c r="Y232" s="20"/>
      <c r="Z232" s="20"/>
      <c r="AA232" s="10"/>
      <c r="AB232" s="10"/>
      <c r="AC232" s="15" t="str">
        <f t="shared" si="7"/>
        <v/>
      </c>
      <c r="AD232" s="15" t="str">
        <f t="shared" si="1"/>
        <v/>
      </c>
      <c r="AE232" s="16" t="str">
        <f t="shared" si="11"/>
        <v/>
      </c>
      <c r="AF232" s="16" t="str">
        <f>IF($E232="","",IF($H232="pdf",IFERROR(IF($X232&gt;=Weights!$B$10,1,0),0),1))</f>
        <v/>
      </c>
      <c r="AG232" s="16" t="str">
        <f t="shared" si="12"/>
        <v/>
      </c>
      <c r="AH232" s="15" t="str">
        <f>IF($E232="","",IFERROR((Weights!$B$2*$O232 + Weights!$B$3*$AE232 + Weights!$B$4*$AD232 + Weights!$B$5*(1-$AC232) + Weights!$B$6*$AF232 + Weights!$B$7*$AG232)/SUM(Weights!$B$2:$B$7),"" ))</f>
        <v/>
      </c>
      <c r="AI232" s="15" t="str">
        <f>IF($E232="","",IF($O232=0,0,IFERROR($AH232/MAX(Weights!$B$8,$Y232)/MAX(Weights!$B$9,IF($Z232="",0,$Z232)), "")))</f>
        <v/>
      </c>
      <c r="AJ232" s="17"/>
    </row>
    <row r="233" ht="15.75" customHeight="1">
      <c r="A233" s="10"/>
      <c r="B233" s="39"/>
      <c r="C233" s="10"/>
      <c r="D233" s="10"/>
      <c r="E233" s="10"/>
      <c r="F233" s="10" t="str">
        <f>IF($E233="","",VLOOKUP($E233,Benchmark_URLs!$A$2:$L$46,4,FALSE))</f>
        <v/>
      </c>
      <c r="G233" s="10"/>
      <c r="H233" s="10" t="str">
        <f>IF($E233="","",VLOOKUP($E233,Benchmark_URLs!$A$2:$L$46,6,FALSE))</f>
        <v/>
      </c>
      <c r="I233" s="10" t="str">
        <f>IF($E233="","",VLOOKUP($E233,Benchmark_URLs!$A$2:$L$46,7,FALSE))</f>
        <v/>
      </c>
      <c r="J233" s="10" t="str">
        <f>IF($E233="","",VLOOKUP($E233,Benchmark_URLs!$A$2:$L$46,8,FALSE))</f>
        <v/>
      </c>
      <c r="K233" s="10" t="str">
        <f>IF($E233="","",VLOOKUP($E233,Benchmark_URLs!$A$2:$L$46,9,FALSE))</f>
        <v/>
      </c>
      <c r="L233" s="10" t="str">
        <f>IF($E233="","",VLOOKUP($E233,Benchmark_URLs!$A$2:$L$46,10,FALSE))</f>
        <v/>
      </c>
      <c r="M233" s="10" t="str">
        <f>IF($E233="","",VLOOKUP($E233,Benchmark_URLs!$A$2:$L$46,11,FALSE))</f>
        <v/>
      </c>
      <c r="N233" s="16"/>
      <c r="O233" s="16"/>
      <c r="P233" s="16"/>
      <c r="Q233" s="19"/>
      <c r="R233" s="19"/>
      <c r="S233" s="19"/>
      <c r="T233" s="16"/>
      <c r="U233" s="16"/>
      <c r="V233" s="16"/>
      <c r="W233" s="19"/>
      <c r="X233" s="19"/>
      <c r="Y233" s="20"/>
      <c r="Z233" s="20"/>
      <c r="AA233" s="10"/>
      <c r="AB233" s="10"/>
      <c r="AC233" s="15" t="str">
        <f t="shared" si="7"/>
        <v/>
      </c>
      <c r="AD233" s="15" t="str">
        <f t="shared" si="1"/>
        <v/>
      </c>
      <c r="AE233" s="16" t="str">
        <f t="shared" si="11"/>
        <v/>
      </c>
      <c r="AF233" s="16" t="str">
        <f>IF($E233="","",IF($H233="pdf",IFERROR(IF($X233&gt;=Weights!$B$10,1,0),0),1))</f>
        <v/>
      </c>
      <c r="AG233" s="16" t="str">
        <f t="shared" si="12"/>
        <v/>
      </c>
      <c r="AH233" s="15" t="str">
        <f>IF($E233="","",IFERROR((Weights!$B$2*$O233 + Weights!$B$3*$AE233 + Weights!$B$4*$AD233 + Weights!$B$5*(1-$AC233) + Weights!$B$6*$AF233 + Weights!$B$7*$AG233)/SUM(Weights!$B$2:$B$7),"" ))</f>
        <v/>
      </c>
      <c r="AI233" s="15" t="str">
        <f>IF($E233="","",IF($O233=0,0,IFERROR($AH233/MAX(Weights!$B$8,$Y233)/MAX(Weights!$B$9,IF($Z233="",0,$Z233)), "")))</f>
        <v/>
      </c>
      <c r="AJ233" s="17"/>
    </row>
    <row r="234" ht="15.75" customHeight="1">
      <c r="A234" s="10"/>
      <c r="B234" s="39"/>
      <c r="C234" s="10"/>
      <c r="D234" s="10"/>
      <c r="E234" s="10"/>
      <c r="F234" s="10" t="str">
        <f>IF($E234="","",VLOOKUP($E234,Benchmark_URLs!$A$2:$L$46,4,FALSE))</f>
        <v/>
      </c>
      <c r="G234" s="10"/>
      <c r="H234" s="10" t="str">
        <f>IF($E234="","",VLOOKUP($E234,Benchmark_URLs!$A$2:$L$46,6,FALSE))</f>
        <v/>
      </c>
      <c r="I234" s="10" t="str">
        <f>IF($E234="","",VLOOKUP($E234,Benchmark_URLs!$A$2:$L$46,7,FALSE))</f>
        <v/>
      </c>
      <c r="J234" s="10" t="str">
        <f>IF($E234="","",VLOOKUP($E234,Benchmark_URLs!$A$2:$L$46,8,FALSE))</f>
        <v/>
      </c>
      <c r="K234" s="10" t="str">
        <f>IF($E234="","",VLOOKUP($E234,Benchmark_URLs!$A$2:$L$46,9,FALSE))</f>
        <v/>
      </c>
      <c r="L234" s="10" t="str">
        <f>IF($E234="","",VLOOKUP($E234,Benchmark_URLs!$A$2:$L$46,10,FALSE))</f>
        <v/>
      </c>
      <c r="M234" s="10" t="str">
        <f>IF($E234="","",VLOOKUP($E234,Benchmark_URLs!$A$2:$L$46,11,FALSE))</f>
        <v/>
      </c>
      <c r="N234" s="16"/>
      <c r="O234" s="16"/>
      <c r="P234" s="16"/>
      <c r="Q234" s="19"/>
      <c r="R234" s="19"/>
      <c r="S234" s="19"/>
      <c r="T234" s="16"/>
      <c r="U234" s="16"/>
      <c r="V234" s="16"/>
      <c r="W234" s="19"/>
      <c r="X234" s="19"/>
      <c r="Y234" s="20"/>
      <c r="Z234" s="20"/>
      <c r="AA234" s="10"/>
      <c r="AB234" s="10"/>
      <c r="AC234" s="15" t="str">
        <f t="shared" si="7"/>
        <v/>
      </c>
      <c r="AD234" s="15" t="str">
        <f t="shared" si="1"/>
        <v/>
      </c>
      <c r="AE234" s="16" t="str">
        <f t="shared" si="11"/>
        <v/>
      </c>
      <c r="AF234" s="16" t="str">
        <f>IF($E234="","",IF($H234="pdf",IFERROR(IF($X234&gt;=Weights!$B$10,1,0),0),1))</f>
        <v/>
      </c>
      <c r="AG234" s="16" t="str">
        <f t="shared" si="12"/>
        <v/>
      </c>
      <c r="AH234" s="15" t="str">
        <f>IF($E234="","",IFERROR((Weights!$B$2*$O234 + Weights!$B$3*$AE234 + Weights!$B$4*$AD234 + Weights!$B$5*(1-$AC234) + Weights!$B$6*$AF234 + Weights!$B$7*$AG234)/SUM(Weights!$B$2:$B$7),"" ))</f>
        <v/>
      </c>
      <c r="AI234" s="15" t="str">
        <f>IF($E234="","",IF($O234=0,0,IFERROR($AH234/MAX(Weights!$B$8,$Y234)/MAX(Weights!$B$9,IF($Z234="",0,$Z234)), "")))</f>
        <v/>
      </c>
      <c r="AJ234" s="17"/>
    </row>
    <row r="235" ht="15.75" customHeight="1">
      <c r="A235" s="10"/>
      <c r="B235" s="39"/>
      <c r="C235" s="10"/>
      <c r="D235" s="10"/>
      <c r="E235" s="10"/>
      <c r="F235" s="10" t="str">
        <f>IF($E235="","",VLOOKUP($E235,Benchmark_URLs!$A$2:$L$46,4,FALSE))</f>
        <v/>
      </c>
      <c r="G235" s="10"/>
      <c r="H235" s="10" t="str">
        <f>IF($E235="","",VLOOKUP($E235,Benchmark_URLs!$A$2:$L$46,6,FALSE))</f>
        <v/>
      </c>
      <c r="I235" s="10" t="str">
        <f>IF($E235="","",VLOOKUP($E235,Benchmark_URLs!$A$2:$L$46,7,FALSE))</f>
        <v/>
      </c>
      <c r="J235" s="10" t="str">
        <f>IF($E235="","",VLOOKUP($E235,Benchmark_URLs!$A$2:$L$46,8,FALSE))</f>
        <v/>
      </c>
      <c r="K235" s="10" t="str">
        <f>IF($E235="","",VLOOKUP($E235,Benchmark_URLs!$A$2:$L$46,9,FALSE))</f>
        <v/>
      </c>
      <c r="L235" s="10" t="str">
        <f>IF($E235="","",VLOOKUP($E235,Benchmark_URLs!$A$2:$L$46,10,FALSE))</f>
        <v/>
      </c>
      <c r="M235" s="10" t="str">
        <f>IF($E235="","",VLOOKUP($E235,Benchmark_URLs!$A$2:$L$46,11,FALSE))</f>
        <v/>
      </c>
      <c r="N235" s="16"/>
      <c r="O235" s="16"/>
      <c r="P235" s="16"/>
      <c r="Q235" s="19"/>
      <c r="R235" s="19"/>
      <c r="S235" s="19"/>
      <c r="T235" s="16"/>
      <c r="U235" s="16"/>
      <c r="V235" s="16"/>
      <c r="W235" s="19"/>
      <c r="X235" s="19"/>
      <c r="Y235" s="20"/>
      <c r="Z235" s="20"/>
      <c r="AA235" s="10"/>
      <c r="AB235" s="10"/>
      <c r="AC235" s="15" t="str">
        <f t="shared" si="7"/>
        <v/>
      </c>
      <c r="AD235" s="15" t="str">
        <f t="shared" si="1"/>
        <v/>
      </c>
      <c r="AE235" s="16" t="str">
        <f t="shared" si="11"/>
        <v/>
      </c>
      <c r="AF235" s="16" t="str">
        <f>IF($E235="","",IF($H235="pdf",IFERROR(IF($X235&gt;=Weights!$B$10,1,0),0),1))</f>
        <v/>
      </c>
      <c r="AG235" s="16" t="str">
        <f t="shared" si="12"/>
        <v/>
      </c>
      <c r="AH235" s="15" t="str">
        <f>IF($E235="","",IFERROR((Weights!$B$2*$O235 + Weights!$B$3*$AE235 + Weights!$B$4*$AD235 + Weights!$B$5*(1-$AC235) + Weights!$B$6*$AF235 + Weights!$B$7*$AG235)/SUM(Weights!$B$2:$B$7),"" ))</f>
        <v/>
      </c>
      <c r="AI235" s="15" t="str">
        <f>IF($E235="","",IF($O235=0,0,IFERROR($AH235/MAX(Weights!$B$8,$Y235)/MAX(Weights!$B$9,IF($Z235="",0,$Z235)), "")))</f>
        <v/>
      </c>
      <c r="AJ235" s="17"/>
    </row>
    <row r="236" ht="15.75" customHeight="1">
      <c r="A236" s="10"/>
      <c r="B236" s="39"/>
      <c r="C236" s="10"/>
      <c r="D236" s="10"/>
      <c r="E236" s="10"/>
      <c r="F236" s="10" t="str">
        <f>IF($E236="","",VLOOKUP($E236,Benchmark_URLs!$A$2:$L$46,4,FALSE))</f>
        <v/>
      </c>
      <c r="G236" s="10"/>
      <c r="H236" s="10" t="str">
        <f>IF($E236="","",VLOOKUP($E236,Benchmark_URLs!$A$2:$L$46,6,FALSE))</f>
        <v/>
      </c>
      <c r="I236" s="10" t="str">
        <f>IF($E236="","",VLOOKUP($E236,Benchmark_URLs!$A$2:$L$46,7,FALSE))</f>
        <v/>
      </c>
      <c r="J236" s="10" t="str">
        <f>IF($E236="","",VLOOKUP($E236,Benchmark_URLs!$A$2:$L$46,8,FALSE))</f>
        <v/>
      </c>
      <c r="K236" s="10" t="str">
        <f>IF($E236="","",VLOOKUP($E236,Benchmark_URLs!$A$2:$L$46,9,FALSE))</f>
        <v/>
      </c>
      <c r="L236" s="10" t="str">
        <f>IF($E236="","",VLOOKUP($E236,Benchmark_URLs!$A$2:$L$46,10,FALSE))</f>
        <v/>
      </c>
      <c r="M236" s="10" t="str">
        <f>IF($E236="","",VLOOKUP($E236,Benchmark_URLs!$A$2:$L$46,11,FALSE))</f>
        <v/>
      </c>
      <c r="N236" s="16"/>
      <c r="O236" s="16"/>
      <c r="P236" s="16"/>
      <c r="Q236" s="19"/>
      <c r="R236" s="19"/>
      <c r="S236" s="19"/>
      <c r="T236" s="16"/>
      <c r="U236" s="16"/>
      <c r="V236" s="16"/>
      <c r="W236" s="19"/>
      <c r="X236" s="19"/>
      <c r="Y236" s="20"/>
      <c r="Z236" s="20"/>
      <c r="AA236" s="10"/>
      <c r="AB236" s="10"/>
      <c r="AC236" s="15" t="str">
        <f t="shared" si="7"/>
        <v/>
      </c>
      <c r="AD236" s="15" t="str">
        <f t="shared" si="1"/>
        <v/>
      </c>
      <c r="AE236" s="16" t="str">
        <f t="shared" si="11"/>
        <v/>
      </c>
      <c r="AF236" s="16" t="str">
        <f>IF($E236="","",IF($H236="pdf",IFERROR(IF($X236&gt;=Weights!$B$10,1,0),0),1))</f>
        <v/>
      </c>
      <c r="AG236" s="16" t="str">
        <f t="shared" si="12"/>
        <v/>
      </c>
      <c r="AH236" s="15" t="str">
        <f>IF($E236="","",IFERROR((Weights!$B$2*$O236 + Weights!$B$3*$AE236 + Weights!$B$4*$AD236 + Weights!$B$5*(1-$AC236) + Weights!$B$6*$AF236 + Weights!$B$7*$AG236)/SUM(Weights!$B$2:$B$7),"" ))</f>
        <v/>
      </c>
      <c r="AI236" s="15" t="str">
        <f>IF($E236="","",IF($O236=0,0,IFERROR($AH236/MAX(Weights!$B$8,$Y236)/MAX(Weights!$B$9,IF($Z236="",0,$Z236)), "")))</f>
        <v/>
      </c>
      <c r="AJ236" s="17"/>
    </row>
    <row r="237" ht="15.75" customHeight="1">
      <c r="A237" s="10"/>
      <c r="B237" s="39"/>
      <c r="C237" s="10"/>
      <c r="D237" s="10"/>
      <c r="E237" s="10"/>
      <c r="F237" s="10" t="str">
        <f>IF($E237="","",VLOOKUP($E237,Benchmark_URLs!$A$2:$L$46,4,FALSE))</f>
        <v/>
      </c>
      <c r="G237" s="10"/>
      <c r="H237" s="10" t="str">
        <f>IF($E237="","",VLOOKUP($E237,Benchmark_URLs!$A$2:$L$46,6,FALSE))</f>
        <v/>
      </c>
      <c r="I237" s="10" t="str">
        <f>IF($E237="","",VLOOKUP($E237,Benchmark_URLs!$A$2:$L$46,7,FALSE))</f>
        <v/>
      </c>
      <c r="J237" s="10" t="str">
        <f>IF($E237="","",VLOOKUP($E237,Benchmark_URLs!$A$2:$L$46,8,FALSE))</f>
        <v/>
      </c>
      <c r="K237" s="10" t="str">
        <f>IF($E237="","",VLOOKUP($E237,Benchmark_URLs!$A$2:$L$46,9,FALSE))</f>
        <v/>
      </c>
      <c r="L237" s="10" t="str">
        <f>IF($E237="","",VLOOKUP($E237,Benchmark_URLs!$A$2:$L$46,10,FALSE))</f>
        <v/>
      </c>
      <c r="M237" s="10" t="str">
        <f>IF($E237="","",VLOOKUP($E237,Benchmark_URLs!$A$2:$L$46,11,FALSE))</f>
        <v/>
      </c>
      <c r="N237" s="16"/>
      <c r="O237" s="16"/>
      <c r="P237" s="16"/>
      <c r="Q237" s="19"/>
      <c r="R237" s="19"/>
      <c r="S237" s="19"/>
      <c r="T237" s="16"/>
      <c r="U237" s="16"/>
      <c r="V237" s="16"/>
      <c r="W237" s="19"/>
      <c r="X237" s="19"/>
      <c r="Y237" s="20"/>
      <c r="Z237" s="20"/>
      <c r="AA237" s="10"/>
      <c r="AB237" s="10"/>
      <c r="AC237" s="15" t="str">
        <f t="shared" si="7"/>
        <v/>
      </c>
      <c r="AD237" s="15" t="str">
        <f t="shared" si="1"/>
        <v/>
      </c>
      <c r="AE237" s="16" t="str">
        <f t="shared" si="11"/>
        <v/>
      </c>
      <c r="AF237" s="16" t="str">
        <f>IF($E237="","",IF($H237="pdf",IFERROR(IF($X237&gt;=Weights!$B$10,1,0),0),1))</f>
        <v/>
      </c>
      <c r="AG237" s="16" t="str">
        <f t="shared" si="12"/>
        <v/>
      </c>
      <c r="AH237" s="15" t="str">
        <f>IF($E237="","",IFERROR((Weights!$B$2*$O237 + Weights!$B$3*$AE237 + Weights!$B$4*$AD237 + Weights!$B$5*(1-$AC237) + Weights!$B$6*$AF237 + Weights!$B$7*$AG237)/SUM(Weights!$B$2:$B$7),"" ))</f>
        <v/>
      </c>
      <c r="AI237" s="15" t="str">
        <f>IF($E237="","",IF($O237=0,0,IFERROR($AH237/MAX(Weights!$B$8,$Y237)/MAX(Weights!$B$9,IF($Z237="",0,$Z237)), "")))</f>
        <v/>
      </c>
      <c r="AJ237" s="17"/>
    </row>
    <row r="238" ht="15.75" customHeight="1">
      <c r="A238" s="10"/>
      <c r="B238" s="39"/>
      <c r="C238" s="10"/>
      <c r="D238" s="10"/>
      <c r="E238" s="10"/>
      <c r="F238" s="10" t="str">
        <f>IF($E238="","",VLOOKUP($E238,Benchmark_URLs!$A$2:$L$46,4,FALSE))</f>
        <v/>
      </c>
      <c r="G238" s="10"/>
      <c r="H238" s="10" t="str">
        <f>IF($E238="","",VLOOKUP($E238,Benchmark_URLs!$A$2:$L$46,6,FALSE))</f>
        <v/>
      </c>
      <c r="I238" s="10" t="str">
        <f>IF($E238="","",VLOOKUP($E238,Benchmark_URLs!$A$2:$L$46,7,FALSE))</f>
        <v/>
      </c>
      <c r="J238" s="10" t="str">
        <f>IF($E238="","",VLOOKUP($E238,Benchmark_URLs!$A$2:$L$46,8,FALSE))</f>
        <v/>
      </c>
      <c r="K238" s="10" t="str">
        <f>IF($E238="","",VLOOKUP($E238,Benchmark_URLs!$A$2:$L$46,9,FALSE))</f>
        <v/>
      </c>
      <c r="L238" s="10" t="str">
        <f>IF($E238="","",VLOOKUP($E238,Benchmark_URLs!$A$2:$L$46,10,FALSE))</f>
        <v/>
      </c>
      <c r="M238" s="10" t="str">
        <f>IF($E238="","",VLOOKUP($E238,Benchmark_URLs!$A$2:$L$46,11,FALSE))</f>
        <v/>
      </c>
      <c r="N238" s="16"/>
      <c r="O238" s="16"/>
      <c r="P238" s="16"/>
      <c r="Q238" s="19"/>
      <c r="R238" s="19"/>
      <c r="S238" s="19"/>
      <c r="T238" s="16"/>
      <c r="U238" s="16"/>
      <c r="V238" s="16"/>
      <c r="W238" s="19"/>
      <c r="X238" s="19"/>
      <c r="Y238" s="20"/>
      <c r="Z238" s="20"/>
      <c r="AA238" s="10"/>
      <c r="AB238" s="10"/>
      <c r="AC238" s="15" t="str">
        <f t="shared" si="7"/>
        <v/>
      </c>
      <c r="AD238" s="15" t="str">
        <f t="shared" si="1"/>
        <v/>
      </c>
      <c r="AE238" s="16" t="str">
        <f t="shared" si="11"/>
        <v/>
      </c>
      <c r="AF238" s="16" t="str">
        <f>IF($E238="","",IF($H238="pdf",IFERROR(IF($X238&gt;=Weights!$B$10,1,0),0),1))</f>
        <v/>
      </c>
      <c r="AG238" s="16" t="str">
        <f t="shared" si="12"/>
        <v/>
      </c>
      <c r="AH238" s="15" t="str">
        <f>IF($E238="","",IFERROR((Weights!$B$2*$O238 + Weights!$B$3*$AE238 + Weights!$B$4*$AD238 + Weights!$B$5*(1-$AC238) + Weights!$B$6*$AF238 + Weights!$B$7*$AG238)/SUM(Weights!$B$2:$B$7),"" ))</f>
        <v/>
      </c>
      <c r="AI238" s="15" t="str">
        <f>IF($E238="","",IF($O238=0,0,IFERROR($AH238/MAX(Weights!$B$8,$Y238)/MAX(Weights!$B$9,IF($Z238="",0,$Z238)), "")))</f>
        <v/>
      </c>
      <c r="AJ238" s="17"/>
    </row>
    <row r="239" ht="15.75" customHeight="1">
      <c r="A239" s="10"/>
      <c r="B239" s="39"/>
      <c r="C239" s="10"/>
      <c r="D239" s="10"/>
      <c r="E239" s="10"/>
      <c r="F239" s="10" t="str">
        <f>IF($E239="","",VLOOKUP($E239,Benchmark_URLs!$A$2:$L$46,4,FALSE))</f>
        <v/>
      </c>
      <c r="G239" s="10"/>
      <c r="H239" s="10" t="str">
        <f>IF($E239="","",VLOOKUP($E239,Benchmark_URLs!$A$2:$L$46,6,FALSE))</f>
        <v/>
      </c>
      <c r="I239" s="10" t="str">
        <f>IF($E239="","",VLOOKUP($E239,Benchmark_URLs!$A$2:$L$46,7,FALSE))</f>
        <v/>
      </c>
      <c r="J239" s="10" t="str">
        <f>IF($E239="","",VLOOKUP($E239,Benchmark_URLs!$A$2:$L$46,8,FALSE))</f>
        <v/>
      </c>
      <c r="K239" s="10" t="str">
        <f>IF($E239="","",VLOOKUP($E239,Benchmark_URLs!$A$2:$L$46,9,FALSE))</f>
        <v/>
      </c>
      <c r="L239" s="10" t="str">
        <f>IF($E239="","",VLOOKUP($E239,Benchmark_URLs!$A$2:$L$46,10,FALSE))</f>
        <v/>
      </c>
      <c r="M239" s="10" t="str">
        <f>IF($E239="","",VLOOKUP($E239,Benchmark_URLs!$A$2:$L$46,11,FALSE))</f>
        <v/>
      </c>
      <c r="N239" s="16"/>
      <c r="O239" s="16"/>
      <c r="P239" s="16"/>
      <c r="Q239" s="19"/>
      <c r="R239" s="19"/>
      <c r="S239" s="19"/>
      <c r="T239" s="16"/>
      <c r="U239" s="16"/>
      <c r="V239" s="16"/>
      <c r="W239" s="19"/>
      <c r="X239" s="19"/>
      <c r="Y239" s="20"/>
      <c r="Z239" s="20"/>
      <c r="AA239" s="10"/>
      <c r="AB239" s="10"/>
      <c r="AC239" s="15" t="str">
        <f t="shared" si="7"/>
        <v/>
      </c>
      <c r="AD239" s="15" t="str">
        <f t="shared" si="1"/>
        <v/>
      </c>
      <c r="AE239" s="16" t="str">
        <f t="shared" si="11"/>
        <v/>
      </c>
      <c r="AF239" s="16" t="str">
        <f>IF($E239="","",IF($H239="pdf",IFERROR(IF($X239&gt;=Weights!$B$10,1,0),0),1))</f>
        <v/>
      </c>
      <c r="AG239" s="16" t="str">
        <f t="shared" si="12"/>
        <v/>
      </c>
      <c r="AH239" s="15" t="str">
        <f>IF($E239="","",IFERROR((Weights!$B$2*$O239 + Weights!$B$3*$AE239 + Weights!$B$4*$AD239 + Weights!$B$5*(1-$AC239) + Weights!$B$6*$AF239 + Weights!$B$7*$AG239)/SUM(Weights!$B$2:$B$7),"" ))</f>
        <v/>
      </c>
      <c r="AI239" s="15" t="str">
        <f>IF($E239="","",IF($O239=0,0,IFERROR($AH239/MAX(Weights!$B$8,$Y239)/MAX(Weights!$B$9,IF($Z239="",0,$Z239)), "")))</f>
        <v/>
      </c>
      <c r="AJ239" s="17"/>
    </row>
    <row r="240" ht="15.75" customHeight="1">
      <c r="A240" s="10"/>
      <c r="B240" s="39"/>
      <c r="C240" s="10"/>
      <c r="D240" s="10"/>
      <c r="E240" s="10"/>
      <c r="F240" s="10" t="str">
        <f>IF($E240="","",VLOOKUP($E240,Benchmark_URLs!$A$2:$L$46,4,FALSE))</f>
        <v/>
      </c>
      <c r="G240" s="10"/>
      <c r="H240" s="10" t="str">
        <f>IF($E240="","",VLOOKUP($E240,Benchmark_URLs!$A$2:$L$46,6,FALSE))</f>
        <v/>
      </c>
      <c r="I240" s="10" t="str">
        <f>IF($E240="","",VLOOKUP($E240,Benchmark_URLs!$A$2:$L$46,7,FALSE))</f>
        <v/>
      </c>
      <c r="J240" s="10" t="str">
        <f>IF($E240="","",VLOOKUP($E240,Benchmark_URLs!$A$2:$L$46,8,FALSE))</f>
        <v/>
      </c>
      <c r="K240" s="10" t="str">
        <f>IF($E240="","",VLOOKUP($E240,Benchmark_URLs!$A$2:$L$46,9,FALSE))</f>
        <v/>
      </c>
      <c r="L240" s="10" t="str">
        <f>IF($E240="","",VLOOKUP($E240,Benchmark_URLs!$A$2:$L$46,10,FALSE))</f>
        <v/>
      </c>
      <c r="M240" s="10" t="str">
        <f>IF($E240="","",VLOOKUP($E240,Benchmark_URLs!$A$2:$L$46,11,FALSE))</f>
        <v/>
      </c>
      <c r="N240" s="16"/>
      <c r="O240" s="16"/>
      <c r="P240" s="16"/>
      <c r="Q240" s="19"/>
      <c r="R240" s="19"/>
      <c r="S240" s="19"/>
      <c r="T240" s="16"/>
      <c r="U240" s="16"/>
      <c r="V240" s="16"/>
      <c r="W240" s="19"/>
      <c r="X240" s="19"/>
      <c r="Y240" s="20"/>
      <c r="Z240" s="20"/>
      <c r="AA240" s="10"/>
      <c r="AB240" s="10"/>
      <c r="AC240" s="15" t="str">
        <f t="shared" si="7"/>
        <v/>
      </c>
      <c r="AD240" s="15" t="str">
        <f t="shared" si="1"/>
        <v/>
      </c>
      <c r="AE240" s="16" t="str">
        <f t="shared" si="11"/>
        <v/>
      </c>
      <c r="AF240" s="16" t="str">
        <f>IF($E240="","",IF($H240="pdf",IFERROR(IF($X240&gt;=Weights!$B$10,1,0),0),1))</f>
        <v/>
      </c>
      <c r="AG240" s="16" t="str">
        <f t="shared" si="12"/>
        <v/>
      </c>
      <c r="AH240" s="15" t="str">
        <f>IF($E240="","",IFERROR((Weights!$B$2*$O240 + Weights!$B$3*$AE240 + Weights!$B$4*$AD240 + Weights!$B$5*(1-$AC240) + Weights!$B$6*$AF240 + Weights!$B$7*$AG240)/SUM(Weights!$B$2:$B$7),"" ))</f>
        <v/>
      </c>
      <c r="AI240" s="15" t="str">
        <f>IF($E240="","",IF($O240=0,0,IFERROR($AH240/MAX(Weights!$B$8,$Y240)/MAX(Weights!$B$9,IF($Z240="",0,$Z240)), "")))</f>
        <v/>
      </c>
      <c r="AJ240" s="17"/>
    </row>
    <row r="241" ht="15.75" customHeight="1">
      <c r="A241" s="10"/>
      <c r="B241" s="39"/>
      <c r="C241" s="10"/>
      <c r="D241" s="10"/>
      <c r="E241" s="10"/>
      <c r="F241" s="10" t="str">
        <f>IF($E241="","",VLOOKUP($E241,Benchmark_URLs!$A$2:$L$46,4,FALSE))</f>
        <v/>
      </c>
      <c r="G241" s="10"/>
      <c r="H241" s="10" t="str">
        <f>IF($E241="","",VLOOKUP($E241,Benchmark_URLs!$A$2:$L$46,6,FALSE))</f>
        <v/>
      </c>
      <c r="I241" s="10" t="str">
        <f>IF($E241="","",VLOOKUP($E241,Benchmark_URLs!$A$2:$L$46,7,FALSE))</f>
        <v/>
      </c>
      <c r="J241" s="10" t="str">
        <f>IF($E241="","",VLOOKUP($E241,Benchmark_URLs!$A$2:$L$46,8,FALSE))</f>
        <v/>
      </c>
      <c r="K241" s="10" t="str">
        <f>IF($E241="","",VLOOKUP($E241,Benchmark_URLs!$A$2:$L$46,9,FALSE))</f>
        <v/>
      </c>
      <c r="L241" s="10" t="str">
        <f>IF($E241="","",VLOOKUP($E241,Benchmark_URLs!$A$2:$L$46,10,FALSE))</f>
        <v/>
      </c>
      <c r="M241" s="10" t="str">
        <f>IF($E241="","",VLOOKUP($E241,Benchmark_URLs!$A$2:$L$46,11,FALSE))</f>
        <v/>
      </c>
      <c r="N241" s="16"/>
      <c r="O241" s="16"/>
      <c r="P241" s="16"/>
      <c r="Q241" s="19"/>
      <c r="R241" s="19"/>
      <c r="S241" s="19"/>
      <c r="T241" s="16"/>
      <c r="U241" s="16"/>
      <c r="V241" s="16"/>
      <c r="W241" s="19"/>
      <c r="X241" s="19"/>
      <c r="Y241" s="20"/>
      <c r="Z241" s="20"/>
      <c r="AA241" s="10"/>
      <c r="AB241" s="10"/>
      <c r="AC241" s="15" t="str">
        <f t="shared" si="7"/>
        <v/>
      </c>
      <c r="AD241" s="15" t="str">
        <f t="shared" si="1"/>
        <v/>
      </c>
      <c r="AE241" s="16" t="str">
        <f t="shared" si="11"/>
        <v/>
      </c>
      <c r="AF241" s="16" t="str">
        <f>IF($E241="","",IF($H241="pdf",IFERROR(IF($X241&gt;=Weights!$B$10,1,0),0),1))</f>
        <v/>
      </c>
      <c r="AG241" s="16" t="str">
        <f t="shared" si="12"/>
        <v/>
      </c>
      <c r="AH241" s="15" t="str">
        <f>IF($E241="","",IFERROR((Weights!$B$2*$O241 + Weights!$B$3*$AE241 + Weights!$B$4*$AD241 + Weights!$B$5*(1-$AC241) + Weights!$B$6*$AF241 + Weights!$B$7*$AG241)/SUM(Weights!$B$2:$B$7),"" ))</f>
        <v/>
      </c>
      <c r="AI241" s="15" t="str">
        <f>IF($E241="","",IF($O241=0,0,IFERROR($AH241/MAX(Weights!$B$8,$Y241)/MAX(Weights!$B$9,IF($Z241="",0,$Z241)), "")))</f>
        <v/>
      </c>
      <c r="AJ241" s="17"/>
    </row>
    <row r="242" ht="15.75" customHeight="1">
      <c r="A242" s="10"/>
      <c r="B242" s="39"/>
      <c r="C242" s="10"/>
      <c r="D242" s="10"/>
      <c r="E242" s="10"/>
      <c r="F242" s="10" t="str">
        <f>IF($E242="","",VLOOKUP($E242,Benchmark_URLs!$A$2:$L$46,4,FALSE))</f>
        <v/>
      </c>
      <c r="G242" s="10"/>
      <c r="H242" s="10" t="str">
        <f>IF($E242="","",VLOOKUP($E242,Benchmark_URLs!$A$2:$L$46,6,FALSE))</f>
        <v/>
      </c>
      <c r="I242" s="10" t="str">
        <f>IF($E242="","",VLOOKUP($E242,Benchmark_URLs!$A$2:$L$46,7,FALSE))</f>
        <v/>
      </c>
      <c r="J242" s="10" t="str">
        <f>IF($E242="","",VLOOKUP($E242,Benchmark_URLs!$A$2:$L$46,8,FALSE))</f>
        <v/>
      </c>
      <c r="K242" s="10" t="str">
        <f>IF($E242="","",VLOOKUP($E242,Benchmark_URLs!$A$2:$L$46,9,FALSE))</f>
        <v/>
      </c>
      <c r="L242" s="10" t="str">
        <f>IF($E242="","",VLOOKUP($E242,Benchmark_URLs!$A$2:$L$46,10,FALSE))</f>
        <v/>
      </c>
      <c r="M242" s="10" t="str">
        <f>IF($E242="","",VLOOKUP($E242,Benchmark_URLs!$A$2:$L$46,11,FALSE))</f>
        <v/>
      </c>
      <c r="N242" s="16"/>
      <c r="O242" s="16"/>
      <c r="P242" s="16"/>
      <c r="Q242" s="19"/>
      <c r="R242" s="19"/>
      <c r="S242" s="19"/>
      <c r="T242" s="16"/>
      <c r="U242" s="16"/>
      <c r="V242" s="16"/>
      <c r="W242" s="19"/>
      <c r="X242" s="19"/>
      <c r="Y242" s="20"/>
      <c r="Z242" s="20"/>
      <c r="AA242" s="10"/>
      <c r="AB242" s="10"/>
      <c r="AC242" s="15" t="str">
        <f t="shared" si="7"/>
        <v/>
      </c>
      <c r="AD242" s="15" t="str">
        <f t="shared" si="1"/>
        <v/>
      </c>
      <c r="AE242" s="16" t="str">
        <f t="shared" si="11"/>
        <v/>
      </c>
      <c r="AF242" s="16" t="str">
        <f>IF($E242="","",IF($H242="pdf",IFERROR(IF($X242&gt;=Weights!$B$10,1,0),0),1))</f>
        <v/>
      </c>
      <c r="AG242" s="16" t="str">
        <f t="shared" si="12"/>
        <v/>
      </c>
      <c r="AH242" s="15" t="str">
        <f>IF($E242="","",IFERROR((Weights!$B$2*$O242 + Weights!$B$3*$AE242 + Weights!$B$4*$AD242 + Weights!$B$5*(1-$AC242) + Weights!$B$6*$AF242 + Weights!$B$7*$AG242)/SUM(Weights!$B$2:$B$7),"" ))</f>
        <v/>
      </c>
      <c r="AI242" s="15" t="str">
        <f>IF($E242="","",IF($O242=0,0,IFERROR($AH242/MAX(Weights!$B$8,$Y242)/MAX(Weights!$B$9,IF($Z242="",0,$Z242)), "")))</f>
        <v/>
      </c>
      <c r="AJ242" s="17"/>
    </row>
    <row r="243" ht="15.75" customHeight="1">
      <c r="A243" s="10"/>
      <c r="B243" s="39"/>
      <c r="C243" s="10"/>
      <c r="D243" s="10"/>
      <c r="E243" s="10"/>
      <c r="F243" s="10" t="str">
        <f>IF($E243="","",VLOOKUP($E243,Benchmark_URLs!$A$2:$L$46,4,FALSE))</f>
        <v/>
      </c>
      <c r="G243" s="10"/>
      <c r="H243" s="10" t="str">
        <f>IF($E243="","",VLOOKUP($E243,Benchmark_URLs!$A$2:$L$46,6,FALSE))</f>
        <v/>
      </c>
      <c r="I243" s="10" t="str">
        <f>IF($E243="","",VLOOKUP($E243,Benchmark_URLs!$A$2:$L$46,7,FALSE))</f>
        <v/>
      </c>
      <c r="J243" s="10" t="str">
        <f>IF($E243="","",VLOOKUP($E243,Benchmark_URLs!$A$2:$L$46,8,FALSE))</f>
        <v/>
      </c>
      <c r="K243" s="10" t="str">
        <f>IF($E243="","",VLOOKUP($E243,Benchmark_URLs!$A$2:$L$46,9,FALSE))</f>
        <v/>
      </c>
      <c r="L243" s="10" t="str">
        <f>IF($E243="","",VLOOKUP($E243,Benchmark_URLs!$A$2:$L$46,10,FALSE))</f>
        <v/>
      </c>
      <c r="M243" s="10" t="str">
        <f>IF($E243="","",VLOOKUP($E243,Benchmark_URLs!$A$2:$L$46,11,FALSE))</f>
        <v/>
      </c>
      <c r="N243" s="16"/>
      <c r="O243" s="16"/>
      <c r="P243" s="16"/>
      <c r="Q243" s="19"/>
      <c r="R243" s="19"/>
      <c r="S243" s="19"/>
      <c r="T243" s="16"/>
      <c r="U243" s="16"/>
      <c r="V243" s="16"/>
      <c r="W243" s="19"/>
      <c r="X243" s="19"/>
      <c r="Y243" s="20"/>
      <c r="Z243" s="20"/>
      <c r="AA243" s="10"/>
      <c r="AB243" s="10"/>
      <c r="AC243" s="15" t="str">
        <f t="shared" si="7"/>
        <v/>
      </c>
      <c r="AD243" s="15" t="str">
        <f t="shared" si="1"/>
        <v/>
      </c>
      <c r="AE243" s="16" t="str">
        <f t="shared" si="11"/>
        <v/>
      </c>
      <c r="AF243" s="16" t="str">
        <f>IF($E243="","",IF($H243="pdf",IFERROR(IF($X243&gt;=Weights!$B$10,1,0),0),1))</f>
        <v/>
      </c>
      <c r="AG243" s="16" t="str">
        <f t="shared" si="12"/>
        <v/>
      </c>
      <c r="AH243" s="15" t="str">
        <f>IF($E243="","",IFERROR((Weights!$B$2*$O243 + Weights!$B$3*$AE243 + Weights!$B$4*$AD243 + Weights!$B$5*(1-$AC243) + Weights!$B$6*$AF243 + Weights!$B$7*$AG243)/SUM(Weights!$B$2:$B$7),"" ))</f>
        <v/>
      </c>
      <c r="AI243" s="15" t="str">
        <f>IF($E243="","",IF($O243=0,0,IFERROR($AH243/MAX(Weights!$B$8,$Y243)/MAX(Weights!$B$9,IF($Z243="",0,$Z243)), "")))</f>
        <v/>
      </c>
      <c r="AJ243" s="17"/>
    </row>
    <row r="244" ht="15.75" customHeight="1">
      <c r="A244" s="10"/>
      <c r="B244" s="39"/>
      <c r="C244" s="10"/>
      <c r="D244" s="10"/>
      <c r="E244" s="10"/>
      <c r="F244" s="10" t="str">
        <f>IF($E244="","",VLOOKUP($E244,Benchmark_URLs!$A$2:$L$46,4,FALSE))</f>
        <v/>
      </c>
      <c r="G244" s="10"/>
      <c r="H244" s="10" t="str">
        <f>IF($E244="","",VLOOKUP($E244,Benchmark_URLs!$A$2:$L$46,6,FALSE))</f>
        <v/>
      </c>
      <c r="I244" s="10" t="str">
        <f>IF($E244="","",VLOOKUP($E244,Benchmark_URLs!$A$2:$L$46,7,FALSE))</f>
        <v/>
      </c>
      <c r="J244" s="10" t="str">
        <f>IF($E244="","",VLOOKUP($E244,Benchmark_URLs!$A$2:$L$46,8,FALSE))</f>
        <v/>
      </c>
      <c r="K244" s="10" t="str">
        <f>IF($E244="","",VLOOKUP($E244,Benchmark_URLs!$A$2:$L$46,9,FALSE))</f>
        <v/>
      </c>
      <c r="L244" s="10" t="str">
        <f>IF($E244="","",VLOOKUP($E244,Benchmark_URLs!$A$2:$L$46,10,FALSE))</f>
        <v/>
      </c>
      <c r="M244" s="10" t="str">
        <f>IF($E244="","",VLOOKUP($E244,Benchmark_URLs!$A$2:$L$46,11,FALSE))</f>
        <v/>
      </c>
      <c r="N244" s="16"/>
      <c r="O244" s="16"/>
      <c r="P244" s="16"/>
      <c r="Q244" s="19"/>
      <c r="R244" s="19"/>
      <c r="S244" s="19"/>
      <c r="T244" s="16"/>
      <c r="U244" s="16"/>
      <c r="V244" s="16"/>
      <c r="W244" s="19"/>
      <c r="X244" s="19"/>
      <c r="Y244" s="20"/>
      <c r="Z244" s="20"/>
      <c r="AA244" s="10"/>
      <c r="AB244" s="10"/>
      <c r="AC244" s="15" t="str">
        <f t="shared" si="7"/>
        <v/>
      </c>
      <c r="AD244" s="15" t="str">
        <f t="shared" si="1"/>
        <v/>
      </c>
      <c r="AE244" s="16" t="str">
        <f t="shared" si="11"/>
        <v/>
      </c>
      <c r="AF244" s="16" t="str">
        <f>IF($E244="","",IF($H244="pdf",IFERROR(IF($X244&gt;=Weights!$B$10,1,0),0),1))</f>
        <v/>
      </c>
      <c r="AG244" s="16" t="str">
        <f t="shared" si="12"/>
        <v/>
      </c>
      <c r="AH244" s="15" t="str">
        <f>IF($E244="","",IFERROR((Weights!$B$2*$O244 + Weights!$B$3*$AE244 + Weights!$B$4*$AD244 + Weights!$B$5*(1-$AC244) + Weights!$B$6*$AF244 + Weights!$B$7*$AG244)/SUM(Weights!$B$2:$B$7),"" ))</f>
        <v/>
      </c>
      <c r="AI244" s="15" t="str">
        <f>IF($E244="","",IF($O244=0,0,IFERROR($AH244/MAX(Weights!$B$8,$Y244)/MAX(Weights!$B$9,IF($Z244="",0,$Z244)), "")))</f>
        <v/>
      </c>
      <c r="AJ244" s="17"/>
    </row>
    <row r="245" ht="15.75" customHeight="1">
      <c r="A245" s="10"/>
      <c r="B245" s="39"/>
      <c r="C245" s="10"/>
      <c r="D245" s="10"/>
      <c r="E245" s="10"/>
      <c r="F245" s="10" t="str">
        <f>IF($E245="","",VLOOKUP($E245,Benchmark_URLs!$A$2:$L$46,4,FALSE))</f>
        <v/>
      </c>
      <c r="G245" s="10"/>
      <c r="H245" s="10" t="str">
        <f>IF($E245="","",VLOOKUP($E245,Benchmark_URLs!$A$2:$L$46,6,FALSE))</f>
        <v/>
      </c>
      <c r="I245" s="10" t="str">
        <f>IF($E245="","",VLOOKUP($E245,Benchmark_URLs!$A$2:$L$46,7,FALSE))</f>
        <v/>
      </c>
      <c r="J245" s="10" t="str">
        <f>IF($E245="","",VLOOKUP($E245,Benchmark_URLs!$A$2:$L$46,8,FALSE))</f>
        <v/>
      </c>
      <c r="K245" s="10" t="str">
        <f>IF($E245="","",VLOOKUP($E245,Benchmark_URLs!$A$2:$L$46,9,FALSE))</f>
        <v/>
      </c>
      <c r="L245" s="10" t="str">
        <f>IF($E245="","",VLOOKUP($E245,Benchmark_URLs!$A$2:$L$46,10,FALSE))</f>
        <v/>
      </c>
      <c r="M245" s="10" t="str">
        <f>IF($E245="","",VLOOKUP($E245,Benchmark_URLs!$A$2:$L$46,11,FALSE))</f>
        <v/>
      </c>
      <c r="N245" s="16"/>
      <c r="O245" s="16"/>
      <c r="P245" s="16"/>
      <c r="Q245" s="19"/>
      <c r="R245" s="19"/>
      <c r="S245" s="19"/>
      <c r="T245" s="16"/>
      <c r="U245" s="16"/>
      <c r="V245" s="16"/>
      <c r="W245" s="19"/>
      <c r="X245" s="19"/>
      <c r="Y245" s="20"/>
      <c r="Z245" s="20"/>
      <c r="AA245" s="10"/>
      <c r="AB245" s="10"/>
      <c r="AC245" s="15" t="str">
        <f t="shared" si="7"/>
        <v/>
      </c>
      <c r="AD245" s="15" t="str">
        <f t="shared" si="1"/>
        <v/>
      </c>
      <c r="AE245" s="16" t="str">
        <f t="shared" si="11"/>
        <v/>
      </c>
      <c r="AF245" s="16" t="str">
        <f>IF($E245="","",IF($H245="pdf",IFERROR(IF($X245&gt;=Weights!$B$10,1,0),0),1))</f>
        <v/>
      </c>
      <c r="AG245" s="16" t="str">
        <f t="shared" si="12"/>
        <v/>
      </c>
      <c r="AH245" s="15" t="str">
        <f>IF($E245="","",IFERROR((Weights!$B$2*$O245 + Weights!$B$3*$AE245 + Weights!$B$4*$AD245 + Weights!$B$5*(1-$AC245) + Weights!$B$6*$AF245 + Weights!$B$7*$AG245)/SUM(Weights!$B$2:$B$7),"" ))</f>
        <v/>
      </c>
      <c r="AI245" s="15" t="str">
        <f>IF($E245="","",IF($O245=0,0,IFERROR($AH245/MAX(Weights!$B$8,$Y245)/MAX(Weights!$B$9,IF($Z245="",0,$Z245)), "")))</f>
        <v/>
      </c>
      <c r="AJ245" s="17"/>
    </row>
    <row r="246" ht="15.75" customHeight="1">
      <c r="A246" s="10"/>
      <c r="B246" s="39"/>
      <c r="C246" s="10"/>
      <c r="D246" s="10"/>
      <c r="E246" s="10"/>
      <c r="F246" s="10" t="str">
        <f>IF($E246="","",VLOOKUP($E246,Benchmark_URLs!$A$2:$L$46,4,FALSE))</f>
        <v/>
      </c>
      <c r="G246" s="10"/>
      <c r="H246" s="10" t="str">
        <f>IF($E246="","",VLOOKUP($E246,Benchmark_URLs!$A$2:$L$46,6,FALSE))</f>
        <v/>
      </c>
      <c r="I246" s="10" t="str">
        <f>IF($E246="","",VLOOKUP($E246,Benchmark_URLs!$A$2:$L$46,7,FALSE))</f>
        <v/>
      </c>
      <c r="J246" s="10" t="str">
        <f>IF($E246="","",VLOOKUP($E246,Benchmark_URLs!$A$2:$L$46,8,FALSE))</f>
        <v/>
      </c>
      <c r="K246" s="10" t="str">
        <f>IF($E246="","",VLOOKUP($E246,Benchmark_URLs!$A$2:$L$46,9,FALSE))</f>
        <v/>
      </c>
      <c r="L246" s="10" t="str">
        <f>IF($E246="","",VLOOKUP($E246,Benchmark_URLs!$A$2:$L$46,10,FALSE))</f>
        <v/>
      </c>
      <c r="M246" s="10" t="str">
        <f>IF($E246="","",VLOOKUP($E246,Benchmark_URLs!$A$2:$L$46,11,FALSE))</f>
        <v/>
      </c>
      <c r="N246" s="16"/>
      <c r="O246" s="16"/>
      <c r="P246" s="16"/>
      <c r="Q246" s="19"/>
      <c r="R246" s="19"/>
      <c r="S246" s="19"/>
      <c r="T246" s="16"/>
      <c r="U246" s="16"/>
      <c r="V246" s="16"/>
      <c r="W246" s="19"/>
      <c r="X246" s="19"/>
      <c r="Y246" s="20"/>
      <c r="Z246" s="20"/>
      <c r="AA246" s="10"/>
      <c r="AB246" s="10"/>
      <c r="AC246" s="15" t="str">
        <f t="shared" si="7"/>
        <v/>
      </c>
      <c r="AD246" s="15" t="str">
        <f t="shared" si="1"/>
        <v/>
      </c>
      <c r="AE246" s="16" t="str">
        <f t="shared" si="11"/>
        <v/>
      </c>
      <c r="AF246" s="16" t="str">
        <f>IF($E246="","",IF($H246="pdf",IFERROR(IF($X246&gt;=Weights!$B$10,1,0),0),1))</f>
        <v/>
      </c>
      <c r="AG246" s="16" t="str">
        <f t="shared" si="12"/>
        <v/>
      </c>
      <c r="AH246" s="15" t="str">
        <f>IF($E246="","",IFERROR((Weights!$B$2*$O246 + Weights!$B$3*$AE246 + Weights!$B$4*$AD246 + Weights!$B$5*(1-$AC246) + Weights!$B$6*$AF246 + Weights!$B$7*$AG246)/SUM(Weights!$B$2:$B$7),"" ))</f>
        <v/>
      </c>
      <c r="AI246" s="15" t="str">
        <f>IF($E246="","",IF($O246=0,0,IFERROR($AH246/MAX(Weights!$B$8,$Y246)/MAX(Weights!$B$9,IF($Z246="",0,$Z246)), "")))</f>
        <v/>
      </c>
      <c r="AJ246" s="17"/>
    </row>
    <row r="247" ht="15.75" customHeight="1">
      <c r="A247" s="10"/>
      <c r="B247" s="39"/>
      <c r="C247" s="10"/>
      <c r="D247" s="10"/>
      <c r="E247" s="10"/>
      <c r="F247" s="10" t="str">
        <f>IF($E247="","",VLOOKUP($E247,Benchmark_URLs!$A$2:$L$46,4,FALSE))</f>
        <v/>
      </c>
      <c r="G247" s="10"/>
      <c r="H247" s="10" t="str">
        <f>IF($E247="","",VLOOKUP($E247,Benchmark_URLs!$A$2:$L$46,6,FALSE))</f>
        <v/>
      </c>
      <c r="I247" s="10" t="str">
        <f>IF($E247="","",VLOOKUP($E247,Benchmark_URLs!$A$2:$L$46,7,FALSE))</f>
        <v/>
      </c>
      <c r="J247" s="10" t="str">
        <f>IF($E247="","",VLOOKUP($E247,Benchmark_URLs!$A$2:$L$46,8,FALSE))</f>
        <v/>
      </c>
      <c r="K247" s="10" t="str">
        <f>IF($E247="","",VLOOKUP($E247,Benchmark_URLs!$A$2:$L$46,9,FALSE))</f>
        <v/>
      </c>
      <c r="L247" s="10" t="str">
        <f>IF($E247="","",VLOOKUP($E247,Benchmark_URLs!$A$2:$L$46,10,FALSE))</f>
        <v/>
      </c>
      <c r="M247" s="10" t="str">
        <f>IF($E247="","",VLOOKUP($E247,Benchmark_URLs!$A$2:$L$46,11,FALSE))</f>
        <v/>
      </c>
      <c r="N247" s="16"/>
      <c r="O247" s="16"/>
      <c r="P247" s="16"/>
      <c r="Q247" s="19"/>
      <c r="R247" s="19"/>
      <c r="S247" s="19"/>
      <c r="T247" s="16"/>
      <c r="U247" s="16"/>
      <c r="V247" s="16"/>
      <c r="W247" s="19"/>
      <c r="X247" s="19"/>
      <c r="Y247" s="20"/>
      <c r="Z247" s="20"/>
      <c r="AA247" s="10"/>
      <c r="AB247" s="10"/>
      <c r="AC247" s="15" t="str">
        <f t="shared" si="7"/>
        <v/>
      </c>
      <c r="AD247" s="15" t="str">
        <f t="shared" si="1"/>
        <v/>
      </c>
      <c r="AE247" s="16" t="str">
        <f t="shared" si="11"/>
        <v/>
      </c>
      <c r="AF247" s="16" t="str">
        <f>IF($E247="","",IF($H247="pdf",IFERROR(IF($X247&gt;=Weights!$B$10,1,0),0),1))</f>
        <v/>
      </c>
      <c r="AG247" s="16" t="str">
        <f t="shared" si="12"/>
        <v/>
      </c>
      <c r="AH247" s="15" t="str">
        <f>IF($E247="","",IFERROR((Weights!$B$2*$O247 + Weights!$B$3*$AE247 + Weights!$B$4*$AD247 + Weights!$B$5*(1-$AC247) + Weights!$B$6*$AF247 + Weights!$B$7*$AG247)/SUM(Weights!$B$2:$B$7),"" ))</f>
        <v/>
      </c>
      <c r="AI247" s="15" t="str">
        <f>IF($E247="","",IF($O247=0,0,IFERROR($AH247/MAX(Weights!$B$8,$Y247)/MAX(Weights!$B$9,IF($Z247="",0,$Z247)), "")))</f>
        <v/>
      </c>
      <c r="AJ247" s="17"/>
    </row>
    <row r="248" ht="15.75" customHeight="1">
      <c r="A248" s="10"/>
      <c r="B248" s="39"/>
      <c r="C248" s="10"/>
      <c r="D248" s="10"/>
      <c r="E248" s="10"/>
      <c r="F248" s="10" t="str">
        <f>IF($E248="","",VLOOKUP($E248,Benchmark_URLs!$A$2:$L$46,4,FALSE))</f>
        <v/>
      </c>
      <c r="G248" s="10"/>
      <c r="H248" s="10" t="str">
        <f>IF($E248="","",VLOOKUP($E248,Benchmark_URLs!$A$2:$L$46,6,FALSE))</f>
        <v/>
      </c>
      <c r="I248" s="10" t="str">
        <f>IF($E248="","",VLOOKUP($E248,Benchmark_URLs!$A$2:$L$46,7,FALSE))</f>
        <v/>
      </c>
      <c r="J248" s="10" t="str">
        <f>IF($E248="","",VLOOKUP($E248,Benchmark_URLs!$A$2:$L$46,8,FALSE))</f>
        <v/>
      </c>
      <c r="K248" s="10" t="str">
        <f>IF($E248="","",VLOOKUP($E248,Benchmark_URLs!$A$2:$L$46,9,FALSE))</f>
        <v/>
      </c>
      <c r="L248" s="10" t="str">
        <f>IF($E248="","",VLOOKUP($E248,Benchmark_URLs!$A$2:$L$46,10,FALSE))</f>
        <v/>
      </c>
      <c r="M248" s="10" t="str">
        <f>IF($E248="","",VLOOKUP($E248,Benchmark_URLs!$A$2:$L$46,11,FALSE))</f>
        <v/>
      </c>
      <c r="N248" s="16"/>
      <c r="O248" s="16"/>
      <c r="P248" s="16"/>
      <c r="Q248" s="19"/>
      <c r="R248" s="19"/>
      <c r="S248" s="19"/>
      <c r="T248" s="16"/>
      <c r="U248" s="16"/>
      <c r="V248" s="16"/>
      <c r="W248" s="19"/>
      <c r="X248" s="19"/>
      <c r="Y248" s="20"/>
      <c r="Z248" s="20"/>
      <c r="AA248" s="10"/>
      <c r="AB248" s="10"/>
      <c r="AC248" s="15" t="str">
        <f t="shared" si="7"/>
        <v/>
      </c>
      <c r="AD248" s="15" t="str">
        <f t="shared" si="1"/>
        <v/>
      </c>
      <c r="AE248" s="16" t="str">
        <f t="shared" si="11"/>
        <v/>
      </c>
      <c r="AF248" s="16" t="str">
        <f>IF($E248="","",IF($H248="pdf",IFERROR(IF($X248&gt;=Weights!$B$10,1,0),0),1))</f>
        <v/>
      </c>
      <c r="AG248" s="16" t="str">
        <f t="shared" si="12"/>
        <v/>
      </c>
      <c r="AH248" s="15" t="str">
        <f>IF($E248="","",IFERROR((Weights!$B$2*$O248 + Weights!$B$3*$AE248 + Weights!$B$4*$AD248 + Weights!$B$5*(1-$AC248) + Weights!$B$6*$AF248 + Weights!$B$7*$AG248)/SUM(Weights!$B$2:$B$7),"" ))</f>
        <v/>
      </c>
      <c r="AI248" s="15" t="str">
        <f>IF($E248="","",IF($O248=0,0,IFERROR($AH248/MAX(Weights!$B$8,$Y248)/MAX(Weights!$B$9,IF($Z248="",0,$Z248)), "")))</f>
        <v/>
      </c>
      <c r="AJ248" s="17"/>
    </row>
    <row r="249" ht="15.75" customHeight="1">
      <c r="A249" s="10"/>
      <c r="B249" s="39"/>
      <c r="C249" s="10"/>
      <c r="D249" s="10"/>
      <c r="E249" s="10"/>
      <c r="F249" s="10" t="str">
        <f>IF($E249="","",VLOOKUP($E249,Benchmark_URLs!$A$2:$L$46,4,FALSE))</f>
        <v/>
      </c>
      <c r="G249" s="10"/>
      <c r="H249" s="10" t="str">
        <f>IF($E249="","",VLOOKUP($E249,Benchmark_URLs!$A$2:$L$46,6,FALSE))</f>
        <v/>
      </c>
      <c r="I249" s="10" t="str">
        <f>IF($E249="","",VLOOKUP($E249,Benchmark_URLs!$A$2:$L$46,7,FALSE))</f>
        <v/>
      </c>
      <c r="J249" s="10" t="str">
        <f>IF($E249="","",VLOOKUP($E249,Benchmark_URLs!$A$2:$L$46,8,FALSE))</f>
        <v/>
      </c>
      <c r="K249" s="10" t="str">
        <f>IF($E249="","",VLOOKUP($E249,Benchmark_URLs!$A$2:$L$46,9,FALSE))</f>
        <v/>
      </c>
      <c r="L249" s="10" t="str">
        <f>IF($E249="","",VLOOKUP($E249,Benchmark_URLs!$A$2:$L$46,10,FALSE))</f>
        <v/>
      </c>
      <c r="M249" s="10" t="str">
        <f>IF($E249="","",VLOOKUP($E249,Benchmark_URLs!$A$2:$L$46,11,FALSE))</f>
        <v/>
      </c>
      <c r="N249" s="16"/>
      <c r="O249" s="16"/>
      <c r="P249" s="16"/>
      <c r="Q249" s="19"/>
      <c r="R249" s="19"/>
      <c r="S249" s="19"/>
      <c r="T249" s="16"/>
      <c r="U249" s="16"/>
      <c r="V249" s="16"/>
      <c r="W249" s="19"/>
      <c r="X249" s="19"/>
      <c r="Y249" s="20"/>
      <c r="Z249" s="20"/>
      <c r="AA249" s="10"/>
      <c r="AB249" s="10"/>
      <c r="AC249" s="15" t="str">
        <f t="shared" si="7"/>
        <v/>
      </c>
      <c r="AD249" s="15" t="str">
        <f t="shared" si="1"/>
        <v/>
      </c>
      <c r="AE249" s="16" t="str">
        <f t="shared" si="11"/>
        <v/>
      </c>
      <c r="AF249" s="16" t="str">
        <f>IF($E249="","",IF($H249="pdf",IFERROR(IF($X249&gt;=Weights!$B$10,1,0),0),1))</f>
        <v/>
      </c>
      <c r="AG249" s="16" t="str">
        <f t="shared" si="12"/>
        <v/>
      </c>
      <c r="AH249" s="15" t="str">
        <f>IF($E249="","",IFERROR((Weights!$B$2*$O249 + Weights!$B$3*$AE249 + Weights!$B$4*$AD249 + Weights!$B$5*(1-$AC249) + Weights!$B$6*$AF249 + Weights!$B$7*$AG249)/SUM(Weights!$B$2:$B$7),"" ))</f>
        <v/>
      </c>
      <c r="AI249" s="15" t="str">
        <f>IF($E249="","",IF($O249=0,0,IFERROR($AH249/MAX(Weights!$B$8,$Y249)/MAX(Weights!$B$9,IF($Z249="",0,$Z249)), "")))</f>
        <v/>
      </c>
      <c r="AJ249" s="17"/>
    </row>
    <row r="250" ht="15.75" customHeight="1">
      <c r="A250" s="10"/>
      <c r="B250" s="39"/>
      <c r="C250" s="10"/>
      <c r="D250" s="10"/>
      <c r="E250" s="10"/>
      <c r="F250" s="10" t="str">
        <f>IF($E250="","",VLOOKUP($E250,Benchmark_URLs!$A$2:$L$46,4,FALSE))</f>
        <v/>
      </c>
      <c r="G250" s="10"/>
      <c r="H250" s="10" t="str">
        <f>IF($E250="","",VLOOKUP($E250,Benchmark_URLs!$A$2:$L$46,6,FALSE))</f>
        <v/>
      </c>
      <c r="I250" s="10" t="str">
        <f>IF($E250="","",VLOOKUP($E250,Benchmark_URLs!$A$2:$L$46,7,FALSE))</f>
        <v/>
      </c>
      <c r="J250" s="10" t="str">
        <f>IF($E250="","",VLOOKUP($E250,Benchmark_URLs!$A$2:$L$46,8,FALSE))</f>
        <v/>
      </c>
      <c r="K250" s="10" t="str">
        <f>IF($E250="","",VLOOKUP($E250,Benchmark_URLs!$A$2:$L$46,9,FALSE))</f>
        <v/>
      </c>
      <c r="L250" s="10" t="str">
        <f>IF($E250="","",VLOOKUP($E250,Benchmark_URLs!$A$2:$L$46,10,FALSE))</f>
        <v/>
      </c>
      <c r="M250" s="10" t="str">
        <f>IF($E250="","",VLOOKUP($E250,Benchmark_URLs!$A$2:$L$46,11,FALSE))</f>
        <v/>
      </c>
      <c r="N250" s="16"/>
      <c r="O250" s="16"/>
      <c r="P250" s="16"/>
      <c r="Q250" s="19"/>
      <c r="R250" s="19"/>
      <c r="S250" s="19"/>
      <c r="T250" s="16"/>
      <c r="U250" s="16"/>
      <c r="V250" s="16"/>
      <c r="W250" s="19"/>
      <c r="X250" s="19"/>
      <c r="Y250" s="20"/>
      <c r="Z250" s="20"/>
      <c r="AA250" s="10"/>
      <c r="AB250" s="10"/>
      <c r="AC250" s="15" t="str">
        <f t="shared" si="7"/>
        <v/>
      </c>
      <c r="AD250" s="15" t="str">
        <f t="shared" si="1"/>
        <v/>
      </c>
      <c r="AE250" s="16" t="str">
        <f t="shared" si="11"/>
        <v/>
      </c>
      <c r="AF250" s="16" t="str">
        <f>IF($E250="","",IF($H250="pdf",IFERROR(IF($X250&gt;=Weights!$B$10,1,0),0),1))</f>
        <v/>
      </c>
      <c r="AG250" s="16" t="str">
        <f t="shared" si="12"/>
        <v/>
      </c>
      <c r="AH250" s="15" t="str">
        <f>IF($E250="","",IFERROR((Weights!$B$2*$O250 + Weights!$B$3*$AE250 + Weights!$B$4*$AD250 + Weights!$B$5*(1-$AC250) + Weights!$B$6*$AF250 + Weights!$B$7*$AG250)/SUM(Weights!$B$2:$B$7),"" ))</f>
        <v/>
      </c>
      <c r="AI250" s="15" t="str">
        <f>IF($E250="","",IF($O250=0,0,IFERROR($AH250/MAX(Weights!$B$8,$Y250)/MAX(Weights!$B$9,IF($Z250="",0,$Z250)), "")))</f>
        <v/>
      </c>
      <c r="AJ250" s="17"/>
    </row>
    <row r="251"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row>
    <row r="252"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row>
    <row r="257"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row>
    <row r="258" ht="15.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row>
    <row r="259" ht="15.7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row>
    <row r="260" ht="15.7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row>
    <row r="261" ht="15.7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row>
    <row r="262" ht="15.7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row>
    <row r="263" ht="15.7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row>
    <row r="264" ht="15.7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row>
    <row r="265" ht="15.7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row>
    <row r="266" ht="15.7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row>
    <row r="267" ht="15.7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row>
    <row r="268" ht="15.7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row>
    <row r="269" ht="15.7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row>
    <row r="270" ht="15.7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row>
    <row r="271" ht="15.7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row>
    <row r="272" ht="15.7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row>
    <row r="273" ht="15.7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row>
    <row r="274" ht="15.7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row>
    <row r="275" ht="15.7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row>
    <row r="276" ht="15.7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row>
    <row r="277" ht="15.7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row>
    <row r="278" ht="15.7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row>
    <row r="279" ht="15.7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row>
    <row r="280" ht="15.7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row>
    <row r="281" ht="15.7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row>
    <row r="282" ht="15.7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row>
    <row r="283" ht="15.7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row>
    <row r="284" ht="15.7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row>
    <row r="285" ht="15.7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row>
    <row r="286" ht="15.7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row>
    <row r="287" ht="15.7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row>
    <row r="288" ht="15.7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row>
    <row r="289" ht="15.7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row>
    <row r="290" ht="15.7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row>
    <row r="291" ht="15.7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row>
    <row r="292" ht="15.7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row>
    <row r="293" ht="15.7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row>
    <row r="294" ht="15.7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row>
    <row r="295" ht="15.7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row>
    <row r="296" ht="15.7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row>
    <row r="297" ht="15.7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row>
    <row r="298" ht="15.7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row>
    <row r="299" ht="15.7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row>
    <row r="300" ht="15.7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row>
    <row r="301" ht="15.7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row>
    <row r="302" ht="15.7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row>
    <row r="303" ht="15.7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row>
    <row r="304" ht="15.7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row>
    <row r="305" ht="15.7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row>
    <row r="306" ht="15.7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row>
    <row r="307" ht="15.7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row>
    <row r="308" ht="15.7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row>
    <row r="309" ht="15.7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row>
    <row r="310" ht="15.7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row>
    <row r="311" ht="15.7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row>
    <row r="312" ht="15.7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row>
    <row r="313" ht="15.7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row>
    <row r="314" ht="15.7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row>
    <row r="315" ht="15.7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row>
    <row r="316" ht="15.7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row>
    <row r="317" ht="15.7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row>
    <row r="318" ht="15.7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row>
    <row r="319" ht="15.7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row>
    <row r="320" ht="15.7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row>
    <row r="321" ht="15.7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row>
    <row r="322" ht="15.7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row>
    <row r="323" ht="15.7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row>
    <row r="324" ht="15.7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row>
    <row r="325" ht="15.7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row>
    <row r="326" ht="15.7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row>
    <row r="327" ht="15.7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row>
    <row r="328" ht="15.7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row>
    <row r="329" ht="15.7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row>
    <row r="330" ht="15.7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row>
    <row r="331" ht="15.7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row>
    <row r="332" ht="15.7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row>
    <row r="333" ht="15.7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row>
    <row r="334" ht="15.7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row>
    <row r="335" ht="15.7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row>
    <row r="336" ht="15.7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row>
    <row r="337" ht="15.7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row>
    <row r="338" ht="15.7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row>
    <row r="339" ht="15.7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row>
    <row r="340" ht="15.7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row>
    <row r="341" ht="15.7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row>
    <row r="342" ht="15.7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row>
    <row r="343" ht="15.7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row>
    <row r="344" ht="15.7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row>
    <row r="345" ht="15.7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row>
    <row r="346" ht="15.7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row>
    <row r="347" ht="15.7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row>
    <row r="348" ht="15.7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row>
    <row r="349" ht="15.7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row>
    <row r="350" ht="15.7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row>
    <row r="351" ht="15.7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row>
    <row r="352" ht="15.7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row>
    <row r="353" ht="15.7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row>
    <row r="354" ht="15.7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row>
    <row r="355" ht="15.7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row>
    <row r="356" ht="15.7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row>
    <row r="357" ht="15.7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row>
    <row r="358" ht="15.7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row>
    <row r="359" ht="15.7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row>
    <row r="360" ht="15.7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row>
    <row r="361" ht="15.7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row>
    <row r="362" ht="15.7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row>
    <row r="363" ht="15.7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row>
    <row r="364" ht="15.7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row>
    <row r="365" ht="15.7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row>
    <row r="366" ht="15.7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row>
    <row r="367" ht="15.7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row>
    <row r="368" ht="15.7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row>
    <row r="369" ht="15.7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row>
    <row r="370" ht="15.7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row>
    <row r="371" ht="15.7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row>
    <row r="372" ht="15.7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row>
    <row r="373" ht="15.7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row>
    <row r="374" ht="15.7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row>
    <row r="375" ht="15.7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row>
    <row r="376" ht="15.7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row>
    <row r="377" ht="15.7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row>
    <row r="378" ht="15.7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row>
    <row r="379" ht="15.7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row>
    <row r="380" ht="15.7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row>
    <row r="381" ht="15.7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row>
    <row r="382" ht="15.7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row>
    <row r="383" ht="15.7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row>
    <row r="384" ht="15.7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row>
    <row r="385" ht="15.7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row>
    <row r="386" ht="15.7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row>
    <row r="387" ht="15.7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row>
    <row r="388" ht="15.7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row>
    <row r="389" ht="15.7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row>
    <row r="390" ht="15.7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row>
    <row r="391" ht="15.7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row>
    <row r="392" ht="15.7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row>
    <row r="393" ht="15.7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row>
    <row r="394" ht="15.7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row>
    <row r="395" ht="15.7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row>
    <row r="396" ht="15.7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row>
    <row r="397" ht="15.7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row>
    <row r="398" ht="15.7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row>
    <row r="399" ht="15.7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row>
    <row r="400" ht="15.7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row>
    <row r="401" ht="15.7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row>
    <row r="402" ht="15.7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row>
    <row r="403" ht="15.7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row>
    <row r="404" ht="15.7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row>
    <row r="405" ht="15.7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row>
    <row r="406" ht="15.7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row>
    <row r="407" ht="15.7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row>
    <row r="408" ht="15.7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row>
    <row r="409" ht="15.7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row>
    <row r="410" ht="15.7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row>
    <row r="411" ht="15.7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row>
    <row r="412" ht="15.7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row>
    <row r="413" ht="15.7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row>
    <row r="414" ht="15.7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row>
    <row r="415" ht="15.7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row>
    <row r="416" ht="15.7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row>
    <row r="417" ht="15.7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row>
    <row r="418" ht="15.7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row>
    <row r="419" ht="15.7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row>
    <row r="420" ht="15.7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row>
    <row r="421" ht="15.7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row>
    <row r="422" ht="15.7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row>
    <row r="423" ht="15.7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row>
    <row r="424" ht="15.7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row>
    <row r="425" ht="15.7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row>
    <row r="426" ht="15.7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row>
    <row r="427" ht="15.7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row>
    <row r="428" ht="15.7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row>
    <row r="429" ht="15.7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row>
    <row r="430" ht="15.7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row>
    <row r="431" ht="15.7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row>
    <row r="432" ht="15.7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row>
    <row r="433" ht="15.7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row>
    <row r="434" ht="15.7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row>
    <row r="435" ht="15.7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row>
    <row r="436" ht="15.7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row>
    <row r="437" ht="15.7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row>
    <row r="438" ht="15.7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row>
    <row r="439" ht="15.7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row>
    <row r="440" ht="15.7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row>
    <row r="441" ht="15.7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row>
    <row r="442" ht="15.7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row>
    <row r="443" ht="15.7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row>
    <row r="444" ht="15.7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row>
    <row r="445" ht="15.7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row>
    <row r="446" ht="15.7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row>
    <row r="447" ht="15.7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row>
    <row r="448" ht="15.7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row>
    <row r="449" ht="15.7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row>
    <row r="450" ht="15.7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row>
    <row r="451" ht="15.7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row>
    <row r="452" ht="15.7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row>
    <row r="453" ht="15.7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row>
    <row r="454" ht="15.7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row>
    <row r="455" ht="15.7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row>
    <row r="456" ht="15.7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row>
    <row r="457" ht="15.7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row>
    <row r="458" ht="15.7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row>
    <row r="459" ht="15.7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row>
    <row r="460" ht="15.7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row>
    <row r="461" ht="15.7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row>
    <row r="462" ht="15.7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row>
    <row r="463" ht="15.7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row>
    <row r="464" ht="15.7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row>
    <row r="465" ht="15.7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row>
    <row r="466" ht="15.7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row>
    <row r="467" ht="15.7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row>
    <row r="468" ht="15.7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row>
    <row r="469" ht="15.7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row>
    <row r="470" ht="15.7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row>
    <row r="471" ht="15.7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row>
    <row r="472" ht="15.7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row>
    <row r="473" ht="15.7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row>
    <row r="474" ht="15.7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row>
    <row r="475" ht="15.7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row>
    <row r="476" ht="15.7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row>
    <row r="477" ht="15.7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row>
    <row r="478" ht="15.7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row>
    <row r="479" ht="15.7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row>
    <row r="480" ht="15.7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row>
    <row r="481" ht="15.7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row>
    <row r="482" ht="15.7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row>
    <row r="483" ht="15.7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row>
    <row r="484" ht="15.7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row>
    <row r="485" ht="15.7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row>
    <row r="486" ht="15.7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row>
    <row r="487" ht="15.7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row>
    <row r="488" ht="15.7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row>
    <row r="489" ht="15.7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row>
    <row r="490" ht="15.7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row>
    <row r="491" ht="15.7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row>
    <row r="492" ht="15.7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row>
    <row r="493" ht="15.7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row>
    <row r="494" ht="15.7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row>
    <row r="495" ht="15.7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row>
    <row r="496" ht="15.7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row>
    <row r="497" ht="15.7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row>
    <row r="498" ht="15.7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row>
    <row r="499" ht="15.7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row>
    <row r="500" ht="15.7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row>
    <row r="501" ht="15.7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row>
    <row r="502" ht="15.7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row>
    <row r="503" ht="15.7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row>
    <row r="504" ht="15.7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row>
    <row r="505" ht="15.7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row>
    <row r="506" ht="15.7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row>
    <row r="507" ht="15.7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row>
    <row r="508" ht="15.7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row>
    <row r="509" ht="15.7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row>
    <row r="510" ht="15.7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row>
    <row r="511" ht="15.7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row>
    <row r="512" ht="15.7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row>
    <row r="513" ht="15.7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row>
    <row r="514" ht="15.7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row>
    <row r="515" ht="15.7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row>
    <row r="516" ht="15.7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row>
    <row r="517" ht="15.7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row>
    <row r="518" ht="15.7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row>
    <row r="519" ht="15.7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row>
    <row r="520" ht="15.7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row>
    <row r="521" ht="15.7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row>
    <row r="522" ht="15.7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row>
    <row r="523" ht="15.7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row>
    <row r="524" ht="15.7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row>
    <row r="525" ht="15.7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row>
    <row r="526" ht="15.7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row>
    <row r="527" ht="15.7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row>
    <row r="528" ht="15.7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row>
    <row r="529" ht="15.7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row>
    <row r="530" ht="15.7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row>
    <row r="531" ht="15.7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row>
    <row r="532" ht="15.7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row>
    <row r="533" ht="15.7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row>
    <row r="534" ht="15.7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row>
    <row r="535" ht="15.7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row>
    <row r="536" ht="15.7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row>
    <row r="537" ht="15.7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row>
    <row r="538" ht="15.7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row>
    <row r="539" ht="15.7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row>
    <row r="540" ht="15.7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row>
    <row r="541" ht="15.7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row>
    <row r="542" ht="15.7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row>
    <row r="543" ht="15.7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row>
    <row r="544" ht="15.7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row>
    <row r="545" ht="15.7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row>
    <row r="546" ht="15.7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row>
    <row r="547" ht="15.7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row>
    <row r="548" ht="15.7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row>
    <row r="549" ht="15.7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row>
    <row r="550" ht="15.7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row>
    <row r="551" ht="15.7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row>
    <row r="552" ht="15.7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row>
    <row r="553" ht="15.7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row>
    <row r="554" ht="15.7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row>
    <row r="555" ht="15.7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row>
    <row r="556" ht="15.7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row>
    <row r="557" ht="15.7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row>
    <row r="558" ht="15.7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row>
    <row r="559" ht="15.7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row>
    <row r="560" ht="15.7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row>
    <row r="561" ht="15.7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row>
    <row r="562" ht="15.7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row>
    <row r="563" ht="15.7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row>
    <row r="564" ht="15.7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row>
    <row r="565" ht="15.7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row>
    <row r="566" ht="15.7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row>
    <row r="567" ht="15.7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row>
    <row r="568" ht="15.7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row>
    <row r="569" ht="15.7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row>
    <row r="570" ht="15.7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row>
    <row r="571" ht="15.7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row>
    <row r="572" ht="15.7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row>
    <row r="573" ht="15.7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row>
    <row r="574" ht="15.7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row>
    <row r="575" ht="15.7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row>
    <row r="576" ht="15.7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row>
    <row r="577" ht="15.7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row>
    <row r="578" ht="15.7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row>
    <row r="579" ht="15.7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row>
    <row r="580" ht="15.7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row>
    <row r="581" ht="15.7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row>
    <row r="582" ht="15.7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row>
    <row r="583" ht="15.7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row>
    <row r="584" ht="15.7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row>
    <row r="585" ht="15.7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row>
    <row r="586" ht="15.7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row>
    <row r="587" ht="15.7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row>
    <row r="588" ht="15.7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row>
    <row r="589" ht="15.7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row>
    <row r="590" ht="15.7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row>
    <row r="591" ht="15.7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row>
    <row r="592" ht="15.7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row>
    <row r="593" ht="15.7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row>
    <row r="594" ht="15.7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row>
    <row r="595" ht="15.7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row>
    <row r="596" ht="15.7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row>
    <row r="597" ht="15.7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row>
    <row r="598" ht="15.7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row>
    <row r="599" ht="15.7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row>
    <row r="600" ht="15.7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row>
    <row r="601" ht="15.7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row>
    <row r="602" ht="15.7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row>
    <row r="603" ht="15.7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row>
    <row r="604" ht="15.7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row>
    <row r="605" ht="15.7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row>
    <row r="606" ht="15.7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row>
    <row r="607" ht="15.7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row>
    <row r="608" ht="15.7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row>
    <row r="609" ht="15.7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row>
    <row r="610" ht="15.7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row>
    <row r="611" ht="15.7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row>
    <row r="612" ht="15.7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row>
    <row r="613" ht="15.7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row>
    <row r="614" ht="15.7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row>
    <row r="615" ht="15.7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row>
    <row r="616" ht="15.7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row>
    <row r="617" ht="15.7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row>
    <row r="618" ht="15.7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row>
    <row r="619" ht="15.7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row>
    <row r="620" ht="15.7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row>
    <row r="621" ht="15.7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row>
    <row r="622" ht="15.7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row>
    <row r="623" ht="15.7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row>
    <row r="624" ht="15.7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row>
    <row r="625" ht="15.7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row>
    <row r="626" ht="15.7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row>
    <row r="627" ht="15.7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row>
    <row r="628" ht="15.7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row>
    <row r="629" ht="15.7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row>
    <row r="630" ht="15.7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row>
    <row r="631" ht="15.7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row>
    <row r="632" ht="15.7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row>
    <row r="633" ht="15.7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row>
    <row r="634" ht="15.7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row>
    <row r="635" ht="15.7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row>
    <row r="636" ht="15.7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row>
    <row r="637" ht="15.7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row>
    <row r="638" ht="15.7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row>
    <row r="639" ht="15.7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row>
    <row r="640" ht="15.7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row>
    <row r="641" ht="15.7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row>
    <row r="642" ht="15.7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row>
    <row r="643" ht="15.7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row>
    <row r="644" ht="15.7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row>
    <row r="645" ht="15.7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row>
    <row r="646" ht="15.7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row>
    <row r="647" ht="15.7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row>
    <row r="648" ht="15.7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row>
    <row r="649" ht="15.7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row>
    <row r="650" ht="15.7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row>
    <row r="651" ht="15.7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row>
    <row r="652" ht="15.7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row>
    <row r="653" ht="15.7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row>
    <row r="654" ht="15.7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row>
    <row r="655" ht="15.7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row>
    <row r="656" ht="15.7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row>
    <row r="657" ht="15.7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row>
    <row r="658" ht="15.7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row>
    <row r="659" ht="15.7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row>
    <row r="660" ht="15.7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row>
    <row r="661" ht="15.7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row>
    <row r="662" ht="15.7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row>
    <row r="663" ht="15.7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row>
    <row r="664" ht="15.7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row>
    <row r="665" ht="15.7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row>
    <row r="666" ht="15.7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row>
    <row r="667" ht="15.7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row>
    <row r="668" ht="15.7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row>
    <row r="669" ht="15.7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row>
    <row r="670" ht="15.7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row>
    <row r="671" ht="15.7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row>
    <row r="672" ht="15.7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row>
    <row r="673" ht="15.7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row>
    <row r="674" ht="15.7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row>
    <row r="675" ht="15.7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row>
    <row r="676" ht="15.7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row>
    <row r="677" ht="15.7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row>
    <row r="678" ht="15.7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row>
    <row r="679" ht="15.7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row>
    <row r="680" ht="15.7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row>
    <row r="681" ht="15.7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row>
    <row r="682" ht="15.7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row>
    <row r="683" ht="15.7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row>
    <row r="684" ht="15.7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row>
    <row r="685" ht="15.7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row>
    <row r="686" ht="15.7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row>
    <row r="687" ht="15.7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row>
    <row r="688" ht="15.7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row>
    <row r="689" ht="15.7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row>
    <row r="690" ht="15.7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row>
    <row r="691" ht="15.7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row>
    <row r="692" ht="15.7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row>
    <row r="693" ht="15.7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row>
    <row r="694" ht="15.7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row>
    <row r="695" ht="15.7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row>
    <row r="696" ht="15.7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row>
    <row r="697" ht="15.7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row>
    <row r="698" ht="15.7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row>
    <row r="699" ht="15.7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row>
    <row r="700" ht="15.7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row>
    <row r="701" ht="15.7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row>
    <row r="702" ht="15.7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row>
    <row r="703" ht="15.7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row>
    <row r="704" ht="15.7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row>
    <row r="705" ht="15.7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row>
    <row r="706" ht="15.7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row>
    <row r="707" ht="15.7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row>
    <row r="708" ht="15.7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row>
    <row r="709" ht="15.7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row>
    <row r="710" ht="15.7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row>
    <row r="711" ht="15.7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row>
    <row r="712" ht="15.7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row>
    <row r="713" ht="15.7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row>
    <row r="714" ht="15.7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row>
    <row r="715" ht="15.7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row>
    <row r="716" ht="15.7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row>
    <row r="717" ht="15.7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row>
    <row r="718" ht="15.7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row>
    <row r="719" ht="15.7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row>
    <row r="720" ht="15.7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row>
    <row r="721" ht="15.7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row>
    <row r="722" ht="15.7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row>
    <row r="723" ht="15.7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row>
    <row r="724" ht="15.7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row>
    <row r="725" ht="15.7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row>
    <row r="726" ht="15.7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row>
    <row r="727" ht="15.7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row>
    <row r="728" ht="15.7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row>
    <row r="729" ht="15.7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row>
    <row r="730" ht="15.7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row>
    <row r="731" ht="15.7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row>
    <row r="732" ht="15.7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row>
    <row r="733" ht="15.7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row>
    <row r="734" ht="15.7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row>
    <row r="735" ht="15.7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row>
    <row r="736" ht="15.7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row>
    <row r="737" ht="15.7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row>
    <row r="738" ht="15.7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row>
    <row r="739" ht="15.7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row>
    <row r="740" ht="15.7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row>
    <row r="741" ht="15.7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row>
    <row r="742" ht="15.7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row>
    <row r="743" ht="15.7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row>
    <row r="744" ht="15.7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row>
    <row r="745" ht="15.7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row>
    <row r="746" ht="15.7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row>
    <row r="747" ht="15.7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row>
    <row r="748" ht="15.7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row>
    <row r="749" ht="15.7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row>
    <row r="750" ht="15.7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row>
    <row r="751" ht="15.7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row>
    <row r="752" ht="15.7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row>
    <row r="753" ht="15.7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row>
    <row r="754" ht="15.7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row>
    <row r="755" ht="15.7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row>
    <row r="756" ht="15.7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row>
    <row r="757" ht="15.7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row>
    <row r="758" ht="15.7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row>
    <row r="759" ht="15.7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row>
    <row r="760" ht="15.7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row>
    <row r="761" ht="15.7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row>
    <row r="762" ht="15.7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row>
    <row r="763" ht="15.7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row>
    <row r="764" ht="15.7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row>
    <row r="765" ht="15.7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row>
    <row r="766" ht="15.7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row>
    <row r="767" ht="15.7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row>
    <row r="768" ht="15.7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row>
    <row r="769" ht="15.7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row>
    <row r="770" ht="15.7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row>
    <row r="771" ht="15.7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row>
    <row r="772" ht="15.7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row>
    <row r="773" ht="15.7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row>
    <row r="774" ht="15.7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row>
    <row r="775" ht="15.7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row>
    <row r="776" ht="15.7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row>
    <row r="777" ht="15.7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row>
    <row r="778" ht="15.7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row>
    <row r="779" ht="15.7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row>
    <row r="780" ht="15.7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row>
    <row r="781" ht="15.7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row>
    <row r="782" ht="15.7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row>
    <row r="783" ht="15.7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row>
    <row r="784" ht="15.7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row>
    <row r="785" ht="15.7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row>
    <row r="786" ht="15.7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row>
    <row r="787" ht="15.7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row>
    <row r="788" ht="15.7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row>
    <row r="789" ht="15.7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row>
    <row r="790" ht="15.7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row>
    <row r="791" ht="15.7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row>
    <row r="792" ht="15.7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row>
    <row r="793" ht="15.7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row>
    <row r="794" ht="15.7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row>
    <row r="795" ht="15.7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row>
    <row r="796" ht="15.7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row>
    <row r="797" ht="15.7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row>
    <row r="798" ht="15.7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row>
    <row r="799" ht="15.7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row>
    <row r="800" ht="15.7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row>
    <row r="801" ht="15.7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row>
    <row r="802" ht="15.7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row>
    <row r="803" ht="15.7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row>
    <row r="804" ht="15.7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row>
    <row r="805" ht="15.7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row>
    <row r="806" ht="15.7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row>
    <row r="807" ht="15.7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row>
    <row r="808" ht="15.7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row>
    <row r="809" ht="15.7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row>
    <row r="810" ht="15.7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row>
    <row r="811" ht="15.7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row>
    <row r="812" ht="15.7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row>
    <row r="813" ht="15.7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row>
    <row r="814" ht="15.7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row>
    <row r="815" ht="15.7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row>
    <row r="816" ht="15.7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row>
    <row r="817" ht="15.7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row>
    <row r="818" ht="15.7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row>
    <row r="819" ht="15.7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row>
    <row r="820" ht="15.7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row>
    <row r="821" ht="15.7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row>
    <row r="822" ht="15.7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row>
    <row r="823" ht="15.7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row>
    <row r="824" ht="15.7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row>
    <row r="825" ht="15.7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row>
    <row r="826" ht="15.7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row>
    <row r="827" ht="15.7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row>
    <row r="828" ht="15.7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row>
    <row r="829" ht="15.7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row>
    <row r="830" ht="15.7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row>
    <row r="831" ht="15.7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row>
    <row r="832" ht="15.7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row>
    <row r="833" ht="15.7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row>
    <row r="834" ht="15.7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row>
    <row r="835" ht="15.7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row>
    <row r="836" ht="15.7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row>
    <row r="837" ht="15.7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row>
    <row r="838" ht="15.7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row>
    <row r="839" ht="15.7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row>
    <row r="840" ht="15.7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row>
    <row r="841" ht="15.7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row>
    <row r="842" ht="15.7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row>
    <row r="843" ht="15.7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row>
    <row r="844" ht="15.7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row>
    <row r="845" ht="15.7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row>
    <row r="846" ht="15.7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row>
    <row r="847" ht="15.7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row>
    <row r="848" ht="15.7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row>
    <row r="849" ht="15.7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row>
    <row r="850" ht="15.7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row>
    <row r="851" ht="15.7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row>
    <row r="852" ht="15.7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row>
    <row r="853" ht="15.7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row>
    <row r="854" ht="15.7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row>
    <row r="855" ht="15.7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row>
    <row r="856" ht="15.7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row>
    <row r="857" ht="15.7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row>
    <row r="858" ht="15.7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row>
    <row r="859" ht="15.7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row>
    <row r="860" ht="15.7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row>
    <row r="861" ht="15.7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row>
    <row r="862" ht="15.7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row>
    <row r="863" ht="15.7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row>
    <row r="864" ht="15.7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row>
    <row r="865" ht="15.7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row>
    <row r="866" ht="15.7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row>
    <row r="867" ht="15.7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row>
    <row r="868" ht="15.7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row>
    <row r="869" ht="15.7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row>
    <row r="870" ht="15.7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row>
    <row r="871" ht="15.7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row>
    <row r="872" ht="15.7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row>
    <row r="873" ht="15.7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row>
    <row r="874" ht="15.7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row>
    <row r="875" ht="15.7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row>
    <row r="876" ht="15.7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row>
    <row r="877" ht="15.7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row>
    <row r="878" ht="15.7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row>
    <row r="879" ht="15.7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row>
    <row r="880" ht="15.7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row>
    <row r="881" ht="15.7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row>
    <row r="882" ht="15.7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row>
    <row r="883" ht="15.7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row>
    <row r="884" ht="15.7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row>
    <row r="885" ht="15.7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row>
    <row r="886" ht="15.7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row>
    <row r="887" ht="15.7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row>
    <row r="888" ht="15.7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row>
    <row r="889" ht="15.7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row>
    <row r="890" ht="15.7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row>
    <row r="891" ht="15.7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row>
    <row r="892" ht="15.7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row>
    <row r="893" ht="15.7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row>
    <row r="894" ht="15.7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row>
    <row r="895" ht="15.7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row>
    <row r="896" ht="15.7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row>
    <row r="897" ht="15.7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row>
    <row r="898" ht="15.7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row>
    <row r="899" ht="15.7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row>
    <row r="900" ht="15.7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row>
    <row r="901" ht="15.7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row>
    <row r="902" ht="15.7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row>
    <row r="903" ht="15.7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row>
    <row r="904" ht="15.7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row>
    <row r="905" ht="15.7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row>
    <row r="906" ht="15.7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row>
    <row r="907" ht="15.7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row>
    <row r="908" ht="15.7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row>
    <row r="909" ht="15.7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row>
    <row r="910" ht="15.7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row>
    <row r="911" ht="15.7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row>
    <row r="912" ht="15.7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row>
    <row r="913" ht="15.7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row>
    <row r="914" ht="15.7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row>
    <row r="915" ht="15.7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row>
    <row r="916" ht="15.7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row>
    <row r="917" ht="15.7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row>
    <row r="918" ht="15.7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row>
    <row r="919" ht="15.7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row>
    <row r="920" ht="15.7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row>
    <row r="921" ht="15.7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row>
    <row r="922" ht="15.7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row>
    <row r="923" ht="15.7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row>
    <row r="924" ht="15.7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row>
    <row r="925" ht="15.7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row>
    <row r="926" ht="15.7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row>
    <row r="927" ht="15.7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row>
    <row r="928" ht="15.7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row>
    <row r="929" ht="15.7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row>
    <row r="930" ht="15.7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row>
    <row r="931" ht="15.7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row>
    <row r="932" ht="15.7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row>
    <row r="933" ht="15.7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row>
    <row r="934" ht="15.7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row>
    <row r="935" ht="15.7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row>
    <row r="936" ht="15.7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row>
    <row r="937" ht="15.7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row>
    <row r="938" ht="15.7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row>
    <row r="939" ht="15.7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row>
    <row r="940" ht="15.7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row>
    <row r="941" ht="15.7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row>
    <row r="942" ht="15.7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row>
    <row r="943" ht="15.7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row>
    <row r="944" ht="15.7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row>
    <row r="945" ht="15.7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row>
    <row r="946" ht="15.7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row>
    <row r="947" ht="15.7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row>
    <row r="948" ht="15.7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row>
    <row r="949" ht="15.7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row>
    <row r="950" ht="15.7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row>
    <row r="951" ht="15.7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row>
    <row r="952" ht="15.7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row>
    <row r="953" ht="15.7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row>
    <row r="954" ht="15.7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row>
    <row r="955" ht="15.7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row>
    <row r="956" ht="15.7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row>
    <row r="957" ht="15.7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row>
    <row r="958" ht="15.7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row>
    <row r="959" ht="15.7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row>
    <row r="960" ht="15.7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row>
    <row r="961" ht="15.7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row>
    <row r="962" ht="15.7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row>
    <row r="963" ht="15.7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row>
    <row r="964" ht="15.7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row>
    <row r="965" ht="15.7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row>
    <row r="966" ht="15.7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row>
    <row r="967" ht="15.7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row>
    <row r="968" ht="15.7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row>
    <row r="969" ht="15.7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row>
    <row r="970" ht="15.7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row>
    <row r="971" ht="15.7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row>
    <row r="972" ht="15.7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row>
    <row r="973" ht="15.7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row>
    <row r="974" ht="15.7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row>
    <row r="975" ht="15.7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row>
    <row r="976" ht="15.7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row>
    <row r="977" ht="15.7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row>
    <row r="978" ht="15.7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row>
    <row r="979" ht="15.7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row>
    <row r="980" ht="15.7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row>
    <row r="981" ht="15.7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row>
    <row r="982" ht="15.7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row>
    <row r="983" ht="15.7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row>
    <row r="984" ht="15.7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row>
    <row r="985" ht="15.7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row>
    <row r="986" ht="15.7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row>
    <row r="987" ht="15.7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row>
    <row r="988" ht="15.7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row>
    <row r="989" ht="15.7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row>
    <row r="990" ht="15.7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row>
    <row r="991" ht="15.7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row>
    <row r="992" ht="15.7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row>
    <row r="993" ht="15.7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row>
    <row r="994" ht="15.7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row>
    <row r="995" ht="15.7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row>
    <row r="996" ht="15.7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row>
    <row r="997" ht="15.7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row>
    <row r="998" ht="15.7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row>
    <row r="999" ht="15.7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row>
    <row r="1000" ht="15.7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row>
  </sheetData>
  <dataValidations>
    <dataValidation type="list" allowBlank="1" sqref="T2:V17 O2:P250 T20:V250">
      <formula1>"0,1"</formula1>
    </dataValidation>
    <dataValidation type="list" allowBlank="1" sqref="C2:C250">
      <formula1>"Exa,Tavily,Serper,Parallel,Firecrawl,Other"</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14.0"/>
    <col customWidth="1" min="3" max="3" width="60.0"/>
    <col customWidth="1" min="4" max="26" width="8.71"/>
  </cols>
  <sheetData>
    <row r="1">
      <c r="A1" s="1" t="s">
        <v>290</v>
      </c>
      <c r="B1" s="1" t="s">
        <v>291</v>
      </c>
      <c r="C1" s="1" t="s">
        <v>11</v>
      </c>
      <c r="D1" s="41"/>
      <c r="E1" s="41"/>
      <c r="F1" s="41"/>
      <c r="G1" s="41"/>
      <c r="H1" s="41"/>
      <c r="I1" s="41"/>
      <c r="J1" s="41"/>
      <c r="K1" s="41"/>
      <c r="L1" s="41"/>
      <c r="M1" s="41"/>
      <c r="N1" s="41"/>
      <c r="O1" s="41"/>
      <c r="P1" s="41"/>
      <c r="Q1" s="41"/>
      <c r="R1" s="41"/>
      <c r="S1" s="41"/>
      <c r="T1" s="41"/>
      <c r="U1" s="41"/>
      <c r="V1" s="41"/>
      <c r="W1" s="41"/>
      <c r="X1" s="41"/>
      <c r="Y1" s="41"/>
      <c r="Z1" s="41"/>
    </row>
    <row r="2">
      <c r="A2" s="2" t="s">
        <v>292</v>
      </c>
      <c r="B2" s="2">
        <v>0.3</v>
      </c>
      <c r="C2" s="2" t="s">
        <v>293</v>
      </c>
      <c r="D2" s="41"/>
      <c r="E2" s="41"/>
      <c r="F2" s="41"/>
      <c r="G2" s="41"/>
      <c r="H2" s="41"/>
      <c r="I2" s="41"/>
      <c r="J2" s="41"/>
      <c r="K2" s="41"/>
      <c r="L2" s="41"/>
      <c r="M2" s="41"/>
      <c r="N2" s="41"/>
      <c r="O2" s="41"/>
      <c r="P2" s="41"/>
      <c r="Q2" s="41"/>
      <c r="R2" s="41"/>
      <c r="S2" s="41"/>
      <c r="T2" s="41"/>
      <c r="U2" s="41"/>
      <c r="V2" s="41"/>
      <c r="W2" s="41"/>
      <c r="X2" s="41"/>
      <c r="Y2" s="41"/>
      <c r="Z2" s="41"/>
    </row>
    <row r="3">
      <c r="A3" s="2" t="s">
        <v>294</v>
      </c>
      <c r="B3" s="2">
        <v>0.25</v>
      </c>
      <c r="C3" s="2" t="s">
        <v>295</v>
      </c>
      <c r="D3" s="41"/>
      <c r="E3" s="41"/>
      <c r="F3" s="41"/>
      <c r="G3" s="41"/>
      <c r="H3" s="41"/>
      <c r="I3" s="41"/>
      <c r="J3" s="41"/>
      <c r="K3" s="41"/>
      <c r="L3" s="41"/>
      <c r="M3" s="41"/>
      <c r="N3" s="41"/>
      <c r="O3" s="41"/>
      <c r="P3" s="41"/>
      <c r="Q3" s="41"/>
      <c r="R3" s="41"/>
      <c r="S3" s="41"/>
      <c r="T3" s="41"/>
      <c r="U3" s="41"/>
      <c r="V3" s="41"/>
      <c r="W3" s="41"/>
      <c r="X3" s="41"/>
      <c r="Y3" s="41"/>
      <c r="Z3" s="41"/>
    </row>
    <row r="4">
      <c r="A4" s="2" t="s">
        <v>296</v>
      </c>
      <c r="B4" s="2">
        <v>0.15</v>
      </c>
      <c r="C4" s="2" t="s">
        <v>297</v>
      </c>
      <c r="D4" s="41"/>
      <c r="E4" s="41"/>
      <c r="F4" s="41"/>
      <c r="G4" s="41"/>
      <c r="H4" s="41"/>
      <c r="I4" s="41"/>
      <c r="J4" s="41"/>
      <c r="K4" s="41"/>
      <c r="L4" s="41"/>
      <c r="M4" s="41"/>
      <c r="N4" s="41"/>
      <c r="O4" s="41"/>
      <c r="P4" s="41"/>
      <c r="Q4" s="41"/>
      <c r="R4" s="41"/>
      <c r="S4" s="41"/>
      <c r="T4" s="41"/>
      <c r="U4" s="41"/>
      <c r="V4" s="41"/>
      <c r="W4" s="41"/>
      <c r="X4" s="41"/>
      <c r="Y4" s="41"/>
      <c r="Z4" s="41"/>
    </row>
    <row r="5">
      <c r="A5" s="2" t="s">
        <v>298</v>
      </c>
      <c r="B5" s="2">
        <v>0.15</v>
      </c>
      <c r="C5" s="2" t="s">
        <v>299</v>
      </c>
      <c r="D5" s="41"/>
      <c r="E5" s="41"/>
      <c r="F5" s="41"/>
      <c r="G5" s="41"/>
      <c r="H5" s="41"/>
      <c r="I5" s="41"/>
      <c r="J5" s="41"/>
      <c r="K5" s="41"/>
      <c r="L5" s="41"/>
      <c r="M5" s="41"/>
      <c r="N5" s="41"/>
      <c r="O5" s="41"/>
      <c r="P5" s="41"/>
      <c r="Q5" s="41"/>
      <c r="R5" s="41"/>
      <c r="S5" s="41"/>
      <c r="T5" s="41"/>
      <c r="U5" s="41"/>
      <c r="V5" s="41"/>
      <c r="W5" s="41"/>
      <c r="X5" s="41"/>
      <c r="Y5" s="41"/>
      <c r="Z5" s="41"/>
    </row>
    <row r="6">
      <c r="A6" s="2" t="s">
        <v>300</v>
      </c>
      <c r="B6" s="2">
        <v>0.1</v>
      </c>
      <c r="C6" s="2" t="s">
        <v>301</v>
      </c>
      <c r="D6" s="41"/>
      <c r="E6" s="41"/>
      <c r="F6" s="41"/>
      <c r="G6" s="41"/>
      <c r="H6" s="41"/>
      <c r="I6" s="41"/>
      <c r="J6" s="41"/>
      <c r="K6" s="41"/>
      <c r="L6" s="41"/>
      <c r="M6" s="41"/>
      <c r="N6" s="41"/>
      <c r="O6" s="41"/>
      <c r="P6" s="41"/>
      <c r="Q6" s="41"/>
      <c r="R6" s="41"/>
      <c r="S6" s="41"/>
      <c r="T6" s="41"/>
      <c r="U6" s="41"/>
      <c r="V6" s="41"/>
      <c r="W6" s="41"/>
      <c r="X6" s="41"/>
      <c r="Y6" s="41"/>
      <c r="Z6" s="41"/>
    </row>
    <row r="7">
      <c r="A7" s="2" t="s">
        <v>302</v>
      </c>
      <c r="B7" s="2">
        <v>0.05</v>
      </c>
      <c r="C7" s="2" t="s">
        <v>303</v>
      </c>
      <c r="D7" s="41"/>
      <c r="E7" s="41"/>
      <c r="F7" s="41"/>
      <c r="G7" s="41"/>
      <c r="H7" s="41"/>
      <c r="I7" s="41"/>
      <c r="J7" s="41"/>
      <c r="K7" s="41"/>
      <c r="L7" s="41"/>
      <c r="M7" s="41"/>
      <c r="N7" s="41"/>
      <c r="O7" s="41"/>
      <c r="P7" s="41"/>
      <c r="Q7" s="41"/>
      <c r="R7" s="41"/>
      <c r="S7" s="41"/>
      <c r="T7" s="41"/>
      <c r="U7" s="41"/>
      <c r="V7" s="41"/>
      <c r="W7" s="41"/>
      <c r="X7" s="41"/>
      <c r="Y7" s="41"/>
      <c r="Z7" s="41"/>
    </row>
    <row r="8">
      <c r="A8" s="2" t="s">
        <v>304</v>
      </c>
      <c r="B8" s="2">
        <v>0.25</v>
      </c>
      <c r="C8" s="2" t="s">
        <v>305</v>
      </c>
      <c r="D8" s="41"/>
      <c r="E8" s="41"/>
      <c r="F8" s="41"/>
      <c r="G8" s="41"/>
      <c r="H8" s="41"/>
      <c r="I8" s="41"/>
      <c r="J8" s="41"/>
      <c r="K8" s="41"/>
      <c r="L8" s="41"/>
      <c r="M8" s="41"/>
      <c r="N8" s="41"/>
      <c r="O8" s="41"/>
      <c r="P8" s="41"/>
      <c r="Q8" s="41"/>
      <c r="R8" s="41"/>
      <c r="S8" s="41"/>
      <c r="T8" s="41"/>
      <c r="U8" s="41"/>
      <c r="V8" s="41"/>
      <c r="W8" s="41"/>
      <c r="X8" s="41"/>
      <c r="Y8" s="41"/>
      <c r="Z8" s="41"/>
    </row>
    <row r="9">
      <c r="A9" s="2" t="s">
        <v>306</v>
      </c>
      <c r="B9" s="2">
        <v>1.0</v>
      </c>
      <c r="C9" s="2" t="s">
        <v>307</v>
      </c>
      <c r="D9" s="41"/>
      <c r="E9" s="41"/>
      <c r="F9" s="41"/>
      <c r="G9" s="41"/>
      <c r="H9" s="41"/>
      <c r="I9" s="41"/>
      <c r="J9" s="41"/>
      <c r="K9" s="41"/>
      <c r="L9" s="41"/>
      <c r="M9" s="41"/>
      <c r="N9" s="41"/>
      <c r="O9" s="41"/>
      <c r="P9" s="41"/>
      <c r="Q9" s="41"/>
      <c r="R9" s="41"/>
      <c r="S9" s="41"/>
      <c r="T9" s="41"/>
      <c r="U9" s="41"/>
      <c r="V9" s="41"/>
      <c r="W9" s="41"/>
      <c r="X9" s="41"/>
      <c r="Y9" s="41"/>
      <c r="Z9" s="41"/>
    </row>
    <row r="10">
      <c r="A10" s="2" t="s">
        <v>308</v>
      </c>
      <c r="B10" s="2">
        <v>2.0</v>
      </c>
      <c r="C10" s="2" t="s">
        <v>309</v>
      </c>
      <c r="D10" s="41"/>
      <c r="E10" s="41"/>
      <c r="F10" s="41"/>
      <c r="G10" s="41"/>
      <c r="H10" s="41"/>
      <c r="I10" s="41"/>
      <c r="J10" s="41"/>
      <c r="K10" s="41"/>
      <c r="L10" s="41"/>
      <c r="M10" s="41"/>
      <c r="N10" s="41"/>
      <c r="O10" s="41"/>
      <c r="P10" s="41"/>
      <c r="Q10" s="41"/>
      <c r="R10" s="41"/>
      <c r="S10" s="41"/>
      <c r="T10" s="41"/>
      <c r="U10" s="41"/>
      <c r="V10" s="41"/>
      <c r="W10" s="41"/>
      <c r="X10" s="41"/>
      <c r="Y10" s="41"/>
      <c r="Z10" s="41"/>
    </row>
    <row r="11">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70.0"/>
    <col customWidth="1" min="3" max="3" width="18.0"/>
    <col customWidth="1" min="4" max="26" width="8.71"/>
  </cols>
  <sheetData>
    <row r="1">
      <c r="A1" s="1" t="s">
        <v>310</v>
      </c>
      <c r="B1" s="1" t="s">
        <v>311</v>
      </c>
      <c r="C1" s="1" t="s">
        <v>312</v>
      </c>
      <c r="D1" s="41"/>
      <c r="E1" s="41"/>
      <c r="F1" s="41"/>
      <c r="G1" s="41"/>
      <c r="H1" s="41"/>
      <c r="I1" s="41"/>
      <c r="J1" s="41"/>
      <c r="K1" s="41"/>
      <c r="L1" s="41"/>
      <c r="M1" s="41"/>
      <c r="N1" s="41"/>
      <c r="O1" s="41"/>
      <c r="P1" s="41"/>
      <c r="Q1" s="41"/>
      <c r="R1" s="41"/>
      <c r="S1" s="41"/>
      <c r="T1" s="41"/>
      <c r="U1" s="41"/>
      <c r="V1" s="41"/>
      <c r="W1" s="41"/>
      <c r="X1" s="41"/>
      <c r="Y1" s="41"/>
      <c r="Z1" s="41"/>
    </row>
    <row r="2">
      <c r="A2" s="2" t="s">
        <v>223</v>
      </c>
      <c r="B2" s="2" t="s">
        <v>313</v>
      </c>
      <c r="C2" s="2" t="s">
        <v>314</v>
      </c>
      <c r="D2" s="41"/>
      <c r="E2" s="41"/>
      <c r="F2" s="41"/>
      <c r="G2" s="41"/>
      <c r="H2" s="41"/>
      <c r="I2" s="41"/>
      <c r="J2" s="41"/>
      <c r="K2" s="41"/>
      <c r="L2" s="41"/>
      <c r="M2" s="41"/>
      <c r="N2" s="41"/>
      <c r="O2" s="41"/>
      <c r="P2" s="41"/>
      <c r="Q2" s="41"/>
      <c r="R2" s="41"/>
      <c r="S2" s="41"/>
      <c r="T2" s="41"/>
      <c r="U2" s="41"/>
      <c r="V2" s="41"/>
      <c r="W2" s="41"/>
      <c r="X2" s="41"/>
      <c r="Y2" s="41"/>
      <c r="Z2" s="41"/>
    </row>
    <row r="3">
      <c r="A3" s="2" t="s">
        <v>0</v>
      </c>
      <c r="B3" s="2" t="s">
        <v>315</v>
      </c>
      <c r="C3" s="2" t="s">
        <v>179</v>
      </c>
      <c r="D3" s="41"/>
      <c r="E3" s="41"/>
      <c r="F3" s="41"/>
      <c r="G3" s="41"/>
      <c r="H3" s="41"/>
      <c r="I3" s="41"/>
      <c r="J3" s="41"/>
      <c r="K3" s="41"/>
      <c r="L3" s="41"/>
      <c r="M3" s="41"/>
      <c r="N3" s="41"/>
      <c r="O3" s="41"/>
      <c r="P3" s="41"/>
      <c r="Q3" s="41"/>
      <c r="R3" s="41"/>
      <c r="S3" s="41"/>
      <c r="T3" s="41"/>
      <c r="U3" s="41"/>
      <c r="V3" s="41"/>
      <c r="W3" s="41"/>
      <c r="X3" s="41"/>
      <c r="Y3" s="41"/>
      <c r="Z3" s="41"/>
    </row>
    <row r="4">
      <c r="A4" s="2" t="s">
        <v>226</v>
      </c>
      <c r="B4" s="2" t="s">
        <v>316</v>
      </c>
      <c r="C4" s="2" t="s">
        <v>317</v>
      </c>
      <c r="D4" s="41"/>
      <c r="E4" s="41"/>
      <c r="F4" s="41"/>
      <c r="G4" s="41"/>
      <c r="H4" s="41"/>
      <c r="I4" s="41"/>
      <c r="J4" s="41"/>
      <c r="K4" s="41"/>
      <c r="L4" s="41"/>
      <c r="M4" s="41"/>
      <c r="N4" s="41"/>
      <c r="O4" s="41"/>
      <c r="P4" s="41"/>
      <c r="Q4" s="41"/>
      <c r="R4" s="41"/>
      <c r="S4" s="41"/>
      <c r="T4" s="41"/>
      <c r="U4" s="41"/>
      <c r="V4" s="41"/>
      <c r="W4" s="41"/>
      <c r="X4" s="41"/>
      <c r="Y4" s="41"/>
      <c r="Z4" s="41"/>
    </row>
    <row r="5">
      <c r="A5" s="2" t="s">
        <v>227</v>
      </c>
      <c r="B5" s="2" t="s">
        <v>318</v>
      </c>
      <c r="C5" s="2" t="s">
        <v>319</v>
      </c>
      <c r="D5" s="41"/>
      <c r="E5" s="41"/>
      <c r="F5" s="41"/>
      <c r="G5" s="41"/>
      <c r="H5" s="41"/>
      <c r="I5" s="41"/>
      <c r="J5" s="41"/>
      <c r="K5" s="41"/>
      <c r="L5" s="41"/>
      <c r="M5" s="41"/>
      <c r="N5" s="41"/>
      <c r="O5" s="41"/>
      <c r="P5" s="41"/>
      <c r="Q5" s="41"/>
      <c r="R5" s="41"/>
      <c r="S5" s="41"/>
      <c r="T5" s="41"/>
      <c r="U5" s="41"/>
      <c r="V5" s="41"/>
      <c r="W5" s="41"/>
      <c r="X5" s="41"/>
      <c r="Y5" s="41"/>
      <c r="Z5" s="41"/>
    </row>
    <row r="6">
      <c r="A6" s="2" t="s">
        <v>228</v>
      </c>
      <c r="B6" s="2" t="s">
        <v>320</v>
      </c>
      <c r="C6" s="2" t="s">
        <v>319</v>
      </c>
      <c r="D6" s="41"/>
      <c r="E6" s="41"/>
      <c r="F6" s="41"/>
      <c r="G6" s="41"/>
      <c r="H6" s="41"/>
      <c r="I6" s="41"/>
      <c r="J6" s="41"/>
      <c r="K6" s="41"/>
      <c r="L6" s="41"/>
      <c r="M6" s="41"/>
      <c r="N6" s="41"/>
      <c r="O6" s="41"/>
      <c r="P6" s="41"/>
      <c r="Q6" s="41"/>
      <c r="R6" s="41"/>
      <c r="S6" s="41"/>
      <c r="T6" s="41"/>
      <c r="U6" s="41"/>
      <c r="V6" s="41"/>
      <c r="W6" s="41"/>
      <c r="X6" s="41"/>
      <c r="Y6" s="41"/>
      <c r="Z6" s="41"/>
    </row>
    <row r="7">
      <c r="A7" s="2" t="s">
        <v>321</v>
      </c>
      <c r="B7" s="2" t="s">
        <v>322</v>
      </c>
      <c r="C7" s="2" t="s">
        <v>323</v>
      </c>
      <c r="D7" s="41"/>
      <c r="E7" s="41"/>
      <c r="F7" s="41"/>
      <c r="G7" s="41"/>
      <c r="H7" s="41"/>
      <c r="I7" s="41"/>
      <c r="J7" s="41"/>
      <c r="K7" s="41"/>
      <c r="L7" s="41"/>
      <c r="M7" s="41"/>
      <c r="N7" s="41"/>
      <c r="O7" s="41"/>
      <c r="P7" s="41"/>
      <c r="Q7" s="41"/>
      <c r="R7" s="41"/>
      <c r="S7" s="41"/>
      <c r="T7" s="41"/>
      <c r="U7" s="41"/>
      <c r="V7" s="41"/>
      <c r="W7" s="41"/>
      <c r="X7" s="41"/>
      <c r="Y7" s="41"/>
      <c r="Z7" s="41"/>
    </row>
    <row r="8">
      <c r="A8" s="2" t="s">
        <v>230</v>
      </c>
      <c r="B8" s="2" t="s">
        <v>324</v>
      </c>
      <c r="C8" s="2" t="s">
        <v>325</v>
      </c>
      <c r="D8" s="41"/>
      <c r="E8" s="41"/>
      <c r="F8" s="41"/>
      <c r="G8" s="41"/>
      <c r="H8" s="41"/>
      <c r="I8" s="41"/>
      <c r="J8" s="41"/>
      <c r="K8" s="41"/>
      <c r="L8" s="41"/>
      <c r="M8" s="41"/>
      <c r="N8" s="41"/>
      <c r="O8" s="41"/>
      <c r="P8" s="41"/>
      <c r="Q8" s="41"/>
      <c r="R8" s="41"/>
      <c r="S8" s="41"/>
      <c r="T8" s="41"/>
      <c r="U8" s="41"/>
      <c r="V8" s="41"/>
      <c r="W8" s="41"/>
      <c r="X8" s="41"/>
      <c r="Y8" s="41"/>
      <c r="Z8" s="41"/>
    </row>
    <row r="9">
      <c r="A9" s="2" t="s">
        <v>231</v>
      </c>
      <c r="B9" s="2" t="s">
        <v>326</v>
      </c>
      <c r="C9" s="2" t="s">
        <v>327</v>
      </c>
      <c r="D9" s="41"/>
      <c r="E9" s="41"/>
      <c r="F9" s="41"/>
      <c r="G9" s="41"/>
      <c r="H9" s="41"/>
      <c r="I9" s="41"/>
      <c r="J9" s="41"/>
      <c r="K9" s="41"/>
      <c r="L9" s="41"/>
      <c r="M9" s="41"/>
      <c r="N9" s="41"/>
      <c r="O9" s="41"/>
      <c r="P9" s="41"/>
      <c r="Q9" s="41"/>
      <c r="R9" s="41"/>
      <c r="S9" s="41"/>
      <c r="T9" s="41"/>
      <c r="U9" s="41"/>
      <c r="V9" s="41"/>
      <c r="W9" s="41"/>
      <c r="X9" s="41"/>
      <c r="Y9" s="41"/>
      <c r="Z9" s="41"/>
    </row>
    <row r="10">
      <c r="A10" s="2" t="s">
        <v>232</v>
      </c>
      <c r="B10" s="2" t="s">
        <v>328</v>
      </c>
      <c r="C10" s="2" t="s">
        <v>319</v>
      </c>
      <c r="D10" s="41"/>
      <c r="E10" s="41"/>
      <c r="F10" s="41"/>
      <c r="G10" s="41"/>
      <c r="H10" s="41"/>
      <c r="I10" s="41"/>
      <c r="J10" s="41"/>
      <c r="K10" s="41"/>
      <c r="L10" s="41"/>
      <c r="M10" s="41"/>
      <c r="N10" s="41"/>
      <c r="O10" s="41"/>
      <c r="P10" s="41"/>
      <c r="Q10" s="41"/>
      <c r="R10" s="41"/>
      <c r="S10" s="41"/>
      <c r="T10" s="41"/>
      <c r="U10" s="41"/>
      <c r="V10" s="41"/>
      <c r="W10" s="41"/>
      <c r="X10" s="41"/>
      <c r="Y10" s="41"/>
      <c r="Z10" s="41"/>
    </row>
    <row r="11">
      <c r="A11" s="2" t="s">
        <v>233</v>
      </c>
      <c r="B11" s="2" t="s">
        <v>329</v>
      </c>
      <c r="C11" s="2" t="s">
        <v>319</v>
      </c>
      <c r="D11" s="41"/>
      <c r="E11" s="41"/>
      <c r="F11" s="41"/>
      <c r="G11" s="41"/>
      <c r="H11" s="41"/>
      <c r="I11" s="41"/>
      <c r="J11" s="41"/>
      <c r="K11" s="41"/>
      <c r="L11" s="41"/>
      <c r="M11" s="41"/>
      <c r="N11" s="41"/>
      <c r="O11" s="41"/>
      <c r="P11" s="41"/>
      <c r="Q11" s="41"/>
      <c r="R11" s="41"/>
      <c r="S11" s="41"/>
      <c r="T11" s="41"/>
      <c r="U11" s="41"/>
      <c r="V11" s="41"/>
      <c r="W11" s="41"/>
      <c r="X11" s="41"/>
      <c r="Y11" s="41"/>
      <c r="Z11" s="41"/>
    </row>
    <row r="12">
      <c r="A12" s="2" t="s">
        <v>234</v>
      </c>
      <c r="B12" s="2" t="s">
        <v>330</v>
      </c>
      <c r="C12" s="2" t="s">
        <v>331</v>
      </c>
      <c r="D12" s="41"/>
      <c r="E12" s="41"/>
      <c r="F12" s="41"/>
      <c r="G12" s="41"/>
      <c r="H12" s="41"/>
      <c r="I12" s="41"/>
      <c r="J12" s="41"/>
      <c r="K12" s="41"/>
      <c r="L12" s="41"/>
      <c r="M12" s="41"/>
      <c r="N12" s="41"/>
      <c r="O12" s="41"/>
      <c r="P12" s="41"/>
      <c r="Q12" s="41"/>
      <c r="R12" s="41"/>
      <c r="S12" s="41"/>
      <c r="T12" s="41"/>
      <c r="U12" s="41"/>
      <c r="V12" s="41"/>
      <c r="W12" s="41"/>
      <c r="X12" s="41"/>
      <c r="Y12" s="41"/>
      <c r="Z12" s="41"/>
    </row>
    <row r="13">
      <c r="A13" s="2" t="s">
        <v>235</v>
      </c>
      <c r="B13" s="2" t="s">
        <v>332</v>
      </c>
      <c r="C13" s="2" t="s">
        <v>333</v>
      </c>
      <c r="D13" s="41"/>
      <c r="E13" s="41"/>
      <c r="F13" s="41"/>
      <c r="G13" s="41"/>
      <c r="H13" s="41"/>
      <c r="I13" s="41"/>
      <c r="J13" s="41"/>
      <c r="K13" s="41"/>
      <c r="L13" s="41"/>
      <c r="M13" s="41"/>
      <c r="N13" s="41"/>
      <c r="O13" s="41"/>
      <c r="P13" s="41"/>
      <c r="Q13" s="41"/>
      <c r="R13" s="41"/>
      <c r="S13" s="41"/>
      <c r="T13" s="41"/>
      <c r="U13" s="41"/>
      <c r="V13" s="41"/>
      <c r="W13" s="41"/>
      <c r="X13" s="41"/>
      <c r="Y13" s="41"/>
      <c r="Z13" s="41"/>
    </row>
    <row r="14">
      <c r="A14" s="2" t="s">
        <v>236</v>
      </c>
      <c r="B14" s="2" t="s">
        <v>334</v>
      </c>
      <c r="C14" s="2" t="s">
        <v>331</v>
      </c>
      <c r="D14" s="41"/>
      <c r="E14" s="41"/>
      <c r="F14" s="41"/>
      <c r="G14" s="41"/>
      <c r="H14" s="41"/>
      <c r="I14" s="41"/>
      <c r="J14" s="41"/>
      <c r="K14" s="41"/>
      <c r="L14" s="41"/>
      <c r="M14" s="41"/>
      <c r="N14" s="41"/>
      <c r="O14" s="41"/>
      <c r="P14" s="41"/>
      <c r="Q14" s="41"/>
      <c r="R14" s="41"/>
      <c r="S14" s="41"/>
      <c r="T14" s="41"/>
      <c r="U14" s="41"/>
      <c r="V14" s="41"/>
      <c r="W14" s="41"/>
      <c r="X14" s="41"/>
      <c r="Y14" s="41"/>
      <c r="Z14" s="41"/>
    </row>
    <row r="15">
      <c r="A15" s="2" t="s">
        <v>237</v>
      </c>
      <c r="B15" s="2" t="s">
        <v>335</v>
      </c>
      <c r="C15" s="2" t="s">
        <v>336</v>
      </c>
      <c r="D15" s="41"/>
      <c r="E15" s="41"/>
      <c r="F15" s="41"/>
      <c r="G15" s="41"/>
      <c r="H15" s="41"/>
      <c r="I15" s="41"/>
      <c r="J15" s="41"/>
      <c r="K15" s="41"/>
      <c r="L15" s="41"/>
      <c r="M15" s="41"/>
      <c r="N15" s="41"/>
      <c r="O15" s="41"/>
      <c r="P15" s="41"/>
      <c r="Q15" s="41"/>
      <c r="R15" s="41"/>
      <c r="S15" s="41"/>
      <c r="T15" s="41"/>
      <c r="U15" s="41"/>
      <c r="V15" s="41"/>
      <c r="W15" s="41"/>
      <c r="X15" s="41"/>
      <c r="Y15" s="41"/>
      <c r="Z15" s="41"/>
    </row>
    <row r="16">
      <c r="A16" s="2" t="s">
        <v>238</v>
      </c>
      <c r="B16" s="2" t="s">
        <v>337</v>
      </c>
      <c r="C16" s="2" t="s">
        <v>338</v>
      </c>
      <c r="D16" s="41"/>
      <c r="E16" s="41"/>
      <c r="F16" s="41"/>
      <c r="G16" s="41"/>
      <c r="H16" s="41"/>
      <c r="I16" s="41"/>
      <c r="J16" s="41"/>
      <c r="K16" s="41"/>
      <c r="L16" s="41"/>
      <c r="M16" s="41"/>
      <c r="N16" s="41"/>
      <c r="O16" s="41"/>
      <c r="P16" s="41"/>
      <c r="Q16" s="41"/>
      <c r="R16" s="41"/>
      <c r="S16" s="41"/>
      <c r="T16" s="41"/>
      <c r="U16" s="41"/>
      <c r="V16" s="41"/>
      <c r="W16" s="41"/>
      <c r="X16" s="41"/>
      <c r="Y16" s="41"/>
      <c r="Z16" s="41"/>
    </row>
    <row r="17">
      <c r="A17" s="2" t="s">
        <v>239</v>
      </c>
      <c r="B17" s="2" t="s">
        <v>339</v>
      </c>
      <c r="C17" s="2" t="s">
        <v>340</v>
      </c>
      <c r="D17" s="41"/>
      <c r="E17" s="41"/>
      <c r="F17" s="41"/>
      <c r="G17" s="41"/>
      <c r="H17" s="41"/>
      <c r="I17" s="41"/>
      <c r="J17" s="41"/>
      <c r="K17" s="41"/>
      <c r="L17" s="41"/>
      <c r="M17" s="41"/>
      <c r="N17" s="41"/>
      <c r="O17" s="41"/>
      <c r="P17" s="41"/>
      <c r="Q17" s="41"/>
      <c r="R17" s="41"/>
      <c r="S17" s="41"/>
      <c r="T17" s="41"/>
      <c r="U17" s="41"/>
      <c r="V17" s="41"/>
      <c r="W17" s="41"/>
      <c r="X17" s="41"/>
      <c r="Y17" s="41"/>
      <c r="Z17" s="41"/>
    </row>
    <row r="18">
      <c r="A18" s="2" t="s">
        <v>11</v>
      </c>
      <c r="B18" s="2" t="s">
        <v>341</v>
      </c>
      <c r="C18" s="2" t="s">
        <v>342</v>
      </c>
      <c r="D18" s="41"/>
      <c r="E18" s="41"/>
      <c r="F18" s="41"/>
      <c r="G18" s="41"/>
      <c r="H18" s="41"/>
      <c r="I18" s="41"/>
      <c r="J18" s="41"/>
      <c r="K18" s="41"/>
      <c r="L18" s="41"/>
      <c r="M18" s="41"/>
      <c r="N18" s="41"/>
      <c r="O18" s="41"/>
      <c r="P18" s="41"/>
      <c r="Q18" s="41"/>
      <c r="R18" s="41"/>
      <c r="S18" s="41"/>
      <c r="T18" s="41"/>
      <c r="U18" s="41"/>
      <c r="V18" s="41"/>
      <c r="W18" s="41"/>
      <c r="X18" s="41"/>
      <c r="Y18" s="41"/>
      <c r="Z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10.0"/>
    <col customWidth="1" min="3" max="26" width="8.71"/>
  </cols>
  <sheetData>
    <row r="1">
      <c r="A1" s="1" t="s">
        <v>343</v>
      </c>
      <c r="B1" s="1" t="s">
        <v>344</v>
      </c>
      <c r="C1" s="41"/>
      <c r="D1" s="41"/>
      <c r="E1" s="41"/>
      <c r="F1" s="41"/>
      <c r="G1" s="41"/>
      <c r="H1" s="41"/>
      <c r="I1" s="41"/>
      <c r="J1" s="41"/>
      <c r="K1" s="41"/>
      <c r="L1" s="41"/>
      <c r="M1" s="41"/>
      <c r="N1" s="41"/>
      <c r="O1" s="41"/>
      <c r="P1" s="41"/>
      <c r="Q1" s="41"/>
      <c r="R1" s="41"/>
      <c r="S1" s="41"/>
      <c r="T1" s="41"/>
      <c r="U1" s="41"/>
      <c r="V1" s="41"/>
      <c r="W1" s="41"/>
      <c r="X1" s="41"/>
      <c r="Y1" s="41"/>
      <c r="Z1" s="41"/>
    </row>
    <row r="2">
      <c r="A2" s="2">
        <v>1.0</v>
      </c>
      <c r="B2" s="2" t="s">
        <v>345</v>
      </c>
      <c r="C2" s="41"/>
      <c r="D2" s="41"/>
      <c r="E2" s="41"/>
      <c r="F2" s="41"/>
      <c r="G2" s="41"/>
      <c r="H2" s="41"/>
      <c r="I2" s="41"/>
      <c r="J2" s="41"/>
      <c r="K2" s="41"/>
      <c r="L2" s="41"/>
      <c r="M2" s="41"/>
      <c r="N2" s="41"/>
      <c r="O2" s="41"/>
      <c r="P2" s="41"/>
      <c r="Q2" s="41"/>
      <c r="R2" s="41"/>
      <c r="S2" s="41"/>
      <c r="T2" s="41"/>
      <c r="U2" s="41"/>
      <c r="V2" s="41"/>
      <c r="W2" s="41"/>
      <c r="X2" s="41"/>
      <c r="Y2" s="41"/>
      <c r="Z2" s="41"/>
    </row>
    <row r="3">
      <c r="A3" s="2">
        <v>2.0</v>
      </c>
      <c r="B3" s="2" t="s">
        <v>346</v>
      </c>
      <c r="C3" s="41"/>
      <c r="D3" s="41"/>
      <c r="E3" s="41"/>
      <c r="F3" s="41"/>
      <c r="G3" s="41"/>
      <c r="H3" s="41"/>
      <c r="I3" s="41"/>
      <c r="J3" s="41"/>
      <c r="K3" s="41"/>
      <c r="L3" s="41"/>
      <c r="M3" s="41"/>
      <c r="N3" s="41"/>
      <c r="O3" s="41"/>
      <c r="P3" s="41"/>
      <c r="Q3" s="41"/>
      <c r="R3" s="41"/>
      <c r="S3" s="41"/>
      <c r="T3" s="41"/>
      <c r="U3" s="41"/>
      <c r="V3" s="41"/>
      <c r="W3" s="41"/>
      <c r="X3" s="41"/>
      <c r="Y3" s="41"/>
      <c r="Z3" s="41"/>
    </row>
    <row r="4">
      <c r="A4" s="2">
        <v>3.0</v>
      </c>
      <c r="B4" s="2" t="s">
        <v>347</v>
      </c>
      <c r="C4" s="41"/>
      <c r="D4" s="41"/>
      <c r="E4" s="41"/>
      <c r="F4" s="41"/>
      <c r="G4" s="41"/>
      <c r="H4" s="41"/>
      <c r="I4" s="41"/>
      <c r="J4" s="41"/>
      <c r="K4" s="41"/>
      <c r="L4" s="41"/>
      <c r="M4" s="41"/>
      <c r="N4" s="41"/>
      <c r="O4" s="41"/>
      <c r="P4" s="41"/>
      <c r="Q4" s="41"/>
      <c r="R4" s="41"/>
      <c r="S4" s="41"/>
      <c r="T4" s="41"/>
      <c r="U4" s="41"/>
      <c r="V4" s="41"/>
      <c r="W4" s="41"/>
      <c r="X4" s="41"/>
      <c r="Y4" s="41"/>
      <c r="Z4" s="41"/>
    </row>
    <row r="5">
      <c r="A5" s="2">
        <v>4.0</v>
      </c>
      <c r="B5" s="2" t="s">
        <v>348</v>
      </c>
      <c r="C5" s="41"/>
      <c r="D5" s="41"/>
      <c r="E5" s="41"/>
      <c r="F5" s="41"/>
      <c r="G5" s="41"/>
      <c r="H5" s="41"/>
      <c r="I5" s="41"/>
      <c r="J5" s="41"/>
      <c r="K5" s="41"/>
      <c r="L5" s="41"/>
      <c r="M5" s="41"/>
      <c r="N5" s="41"/>
      <c r="O5" s="41"/>
      <c r="P5" s="41"/>
      <c r="Q5" s="41"/>
      <c r="R5" s="41"/>
      <c r="S5" s="41"/>
      <c r="T5" s="41"/>
      <c r="U5" s="41"/>
      <c r="V5" s="41"/>
      <c r="W5" s="41"/>
      <c r="X5" s="41"/>
      <c r="Y5" s="41"/>
      <c r="Z5" s="41"/>
    </row>
    <row r="6">
      <c r="A6" s="2">
        <v>5.0</v>
      </c>
      <c r="B6" s="2" t="s">
        <v>349</v>
      </c>
      <c r="C6" s="41"/>
      <c r="D6" s="41"/>
      <c r="E6" s="41"/>
      <c r="F6" s="41"/>
      <c r="G6" s="41"/>
      <c r="H6" s="41"/>
      <c r="I6" s="41"/>
      <c r="J6" s="41"/>
      <c r="K6" s="41"/>
      <c r="L6" s="41"/>
      <c r="M6" s="41"/>
      <c r="N6" s="41"/>
      <c r="O6" s="41"/>
      <c r="P6" s="41"/>
      <c r="Q6" s="41"/>
      <c r="R6" s="41"/>
      <c r="S6" s="41"/>
      <c r="T6" s="41"/>
      <c r="U6" s="41"/>
      <c r="V6" s="41"/>
      <c r="W6" s="41"/>
      <c r="X6" s="41"/>
      <c r="Y6" s="41"/>
      <c r="Z6" s="41"/>
    </row>
    <row r="7">
      <c r="A7" s="2">
        <v>6.0</v>
      </c>
      <c r="B7" s="2" t="s">
        <v>350</v>
      </c>
      <c r="C7" s="41"/>
      <c r="D7" s="41"/>
      <c r="E7" s="41"/>
      <c r="F7" s="41"/>
      <c r="G7" s="41"/>
      <c r="H7" s="41"/>
      <c r="I7" s="41"/>
      <c r="J7" s="41"/>
      <c r="K7" s="41"/>
      <c r="L7" s="41"/>
      <c r="M7" s="41"/>
      <c r="N7" s="41"/>
      <c r="O7" s="41"/>
      <c r="P7" s="41"/>
      <c r="Q7" s="41"/>
      <c r="R7" s="41"/>
      <c r="S7" s="41"/>
      <c r="T7" s="41"/>
      <c r="U7" s="41"/>
      <c r="V7" s="41"/>
      <c r="W7" s="41"/>
      <c r="X7" s="41"/>
      <c r="Y7" s="41"/>
      <c r="Z7" s="41"/>
    </row>
    <row r="8">
      <c r="A8" s="41"/>
      <c r="B8" s="41"/>
      <c r="C8" s="41"/>
      <c r="D8" s="41"/>
      <c r="E8" s="41"/>
      <c r="F8" s="41"/>
      <c r="G8" s="41"/>
      <c r="H8" s="41"/>
      <c r="I8" s="41"/>
      <c r="J8" s="41"/>
      <c r="K8" s="41"/>
      <c r="L8" s="41"/>
      <c r="M8" s="41"/>
      <c r="N8" s="41"/>
      <c r="O8" s="41"/>
      <c r="P8" s="41"/>
      <c r="Q8" s="41"/>
      <c r="R8" s="41"/>
      <c r="S8" s="41"/>
      <c r="T8" s="41"/>
      <c r="U8" s="41"/>
      <c r="V8" s="41"/>
      <c r="W8" s="41"/>
      <c r="X8" s="41"/>
      <c r="Y8" s="41"/>
      <c r="Z8" s="41"/>
    </row>
    <row r="9">
      <c r="A9" s="41"/>
      <c r="B9" s="41"/>
      <c r="C9" s="41"/>
      <c r="D9" s="41"/>
      <c r="E9" s="41"/>
      <c r="F9" s="41"/>
      <c r="G9" s="41"/>
      <c r="H9" s="41"/>
      <c r="I9" s="41"/>
      <c r="J9" s="41"/>
      <c r="K9" s="41"/>
      <c r="L9" s="41"/>
      <c r="M9" s="41"/>
      <c r="N9" s="41"/>
      <c r="O9" s="41"/>
      <c r="P9" s="41"/>
      <c r="Q9" s="41"/>
      <c r="R9" s="41"/>
      <c r="S9" s="41"/>
      <c r="T9" s="41"/>
      <c r="U9" s="41"/>
      <c r="V9" s="41"/>
      <c r="W9" s="41"/>
      <c r="X9" s="41"/>
      <c r="Y9" s="41"/>
      <c r="Z9" s="41"/>
    </row>
    <row r="10">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6" width="23.0"/>
  </cols>
  <sheetData>
    <row r="1">
      <c r="A1" s="1" t="s">
        <v>223</v>
      </c>
      <c r="B1" s="1" t="s">
        <v>351</v>
      </c>
      <c r="C1" s="1" t="s">
        <v>352</v>
      </c>
      <c r="D1" s="1" t="s">
        <v>353</v>
      </c>
      <c r="E1" s="1" t="s">
        <v>354</v>
      </c>
      <c r="F1" s="1" t="s">
        <v>355</v>
      </c>
      <c r="G1" s="1" t="s">
        <v>356</v>
      </c>
      <c r="H1" s="1" t="s">
        <v>241</v>
      </c>
      <c r="I1" s="1" t="s">
        <v>357</v>
      </c>
      <c r="J1" s="1" t="s">
        <v>358</v>
      </c>
      <c r="K1" s="1" t="s">
        <v>359</v>
      </c>
      <c r="L1" s="1" t="s">
        <v>360</v>
      </c>
      <c r="M1" s="41"/>
      <c r="N1" s="41"/>
      <c r="O1" s="41"/>
      <c r="P1" s="41"/>
      <c r="Q1" s="41"/>
      <c r="R1" s="41"/>
      <c r="S1" s="41"/>
      <c r="T1" s="41"/>
      <c r="U1" s="41"/>
      <c r="V1" s="41"/>
      <c r="W1" s="41"/>
      <c r="X1" s="41"/>
      <c r="Y1" s="41"/>
      <c r="Z1" s="41"/>
    </row>
    <row r="2">
      <c r="A2" s="2" t="s">
        <v>361</v>
      </c>
      <c r="B2" s="42">
        <f>IFERROR(COUNTIF(Crawl_Results!$C$2:$C$250,A2),0)</f>
        <v>0</v>
      </c>
      <c r="C2" s="43" t="str">
        <f>IFERROR(AVERAGEIF(Crawl_Results!$C$2:$C$250,A2,Crawl_Results!$O$2:$O$250),"")</f>
        <v/>
      </c>
      <c r="D2" s="43" t="str">
        <f>IFERROR(AVERAGEIF(Crawl_Results!$C$2:$C$250,A2,Crawl_Results!$AH$2:$AH$250),"")</f>
        <v/>
      </c>
      <c r="E2" s="43" t="str">
        <f>IFERROR(AVERAGEIF(Crawl_Results!$C$2:$C$250,A2,Crawl_Results!$AI$2:$AI$250),"")</f>
        <v/>
      </c>
      <c r="F2" s="43" t="str">
        <f>IFERROR(AVERAGEIF(Crawl_Results!$C$2:$C$250,A2,Crawl_Results!$Y$2:$Y$250),"")</f>
        <v/>
      </c>
      <c r="G2" s="43" t="str">
        <f>IFERROR(AVERAGEIF(Crawl_Results!$C$2:$C$250,A2,Crawl_Results!$Z$2:$Z$250),"")</f>
        <v/>
      </c>
      <c r="H2" s="43" t="str">
        <f>IFERROR(AVERAGEIF(Crawl_Results!$C$2:$C$250,A2,Crawl_Results!$AD$2:$AD$250),"")</f>
        <v/>
      </c>
      <c r="I2" s="43" t="str">
        <f>IFERROR(AVERAGEIF(Crawl_Results!$C$2:$C$250,A2,Crawl_Results!$AE$2:$AE$250),"")</f>
        <v/>
      </c>
      <c r="J2" s="43" t="str">
        <f>IFERROR(AVERAGEIFS(Crawl_Results!$AF$2:$AF$250,Crawl_Results!$C$2:$C$250,A2,Crawl_Results!$H$2:$H$250,"pdf"),"")</f>
        <v/>
      </c>
      <c r="K2" s="43" t="str">
        <f>IFERROR(AVERAGEIFS(Crawl_Results!$AG$2:$AG$250,Crawl_Results!$C$2:$C$250,A2,Crawl_Results!$I$2:$I$250,"Y"),"")</f>
        <v/>
      </c>
      <c r="L2" s="43" t="str">
        <f t="shared" ref="L2:L7" si="1">IF($B2=0,"",1-C2)</f>
        <v/>
      </c>
      <c r="M2" s="41"/>
      <c r="N2" s="41"/>
      <c r="O2" s="41"/>
      <c r="P2" s="41"/>
      <c r="Q2" s="41"/>
      <c r="R2" s="41"/>
      <c r="S2" s="41"/>
      <c r="T2" s="41"/>
      <c r="U2" s="41"/>
      <c r="V2" s="41"/>
      <c r="W2" s="41"/>
      <c r="X2" s="41"/>
      <c r="Y2" s="41"/>
      <c r="Z2" s="41"/>
    </row>
    <row r="3">
      <c r="A3" s="2" t="s">
        <v>256</v>
      </c>
      <c r="B3" s="42">
        <f>IFERROR(COUNTIF(Crawl_Results!$C$2:$C$250,A3),0)</f>
        <v>19</v>
      </c>
      <c r="C3" s="43">
        <f>IFERROR(AVERAGEIF(Crawl_Results!$C$2:$C$250,A3,Crawl_Results!$O$2:$O$250),"")</f>
        <v>1</v>
      </c>
      <c r="D3" s="43">
        <f>IFERROR(AVERAGEIF(Crawl_Results!$C$2:$C$250,A3,Crawl_Results!$AH$2:$AH$250),"")</f>
        <v>0.6526195059</v>
      </c>
      <c r="E3" s="43">
        <f>IFERROR(AVERAGEIF(Crawl_Results!$C$2:$C$250,A3,Crawl_Results!$AI$2:$AI$250),"")</f>
        <v>0.3202838524</v>
      </c>
      <c r="F3" s="43">
        <f>IFERROR(AVERAGEIF(Crawl_Results!$C$2:$C$250,A3,Crawl_Results!$Y$2:$Y$250),"")</f>
        <v>4.446842105</v>
      </c>
      <c r="G3" s="43">
        <f>IFERROR(AVERAGEIF(Crawl_Results!$C$2:$C$250,A3,Crawl_Results!$Z$2:$Z$250),"")</f>
        <v>3.105263158</v>
      </c>
      <c r="H3" s="43">
        <f>IFERROR(AVERAGEIF(Crawl_Results!$C$2:$C$250,A3,Crawl_Results!$AD$2:$AD$250),"")</f>
        <v>0.3684210526</v>
      </c>
      <c r="I3" s="43">
        <f>IFERROR(AVERAGEIF(Crawl_Results!$C$2:$C$250,A3,Crawl_Results!$AE$2:$AE$250),"")</f>
        <v>0.6315789474</v>
      </c>
      <c r="J3" s="43" t="str">
        <f>IFERROR(AVERAGEIFS(Crawl_Results!$AF$2:$AF$250,Crawl_Results!$C$2:$C$250,A3,Crawl_Results!$H$2:$H$250,"pdf"),"")</f>
        <v/>
      </c>
      <c r="K3" s="43">
        <f>IFERROR(AVERAGEIFS(Crawl_Results!$AG$2:$AG$250,Crawl_Results!$C$2:$C$250,A3,Crawl_Results!$I$2:$I$250,"Y"),"")</f>
        <v>0.6666666667</v>
      </c>
      <c r="L3" s="43">
        <f t="shared" si="1"/>
        <v>0</v>
      </c>
      <c r="M3" s="41"/>
      <c r="N3" s="41"/>
      <c r="O3" s="41"/>
      <c r="P3" s="41"/>
      <c r="Q3" s="41"/>
      <c r="R3" s="41"/>
      <c r="S3" s="41"/>
      <c r="T3" s="41"/>
      <c r="U3" s="41"/>
      <c r="V3" s="41"/>
      <c r="W3" s="41"/>
      <c r="X3" s="41"/>
      <c r="Y3" s="41"/>
      <c r="Z3" s="41"/>
    </row>
    <row r="4">
      <c r="A4" s="2" t="s">
        <v>248</v>
      </c>
      <c r="B4" s="42">
        <f>IFERROR(COUNTIF(Crawl_Results!$C$2:$C$250,A4),0)</f>
        <v>18</v>
      </c>
      <c r="C4" s="43">
        <f>IFERROR(AVERAGEIF(Crawl_Results!$C$2:$C$250,A4,Crawl_Results!$O$2:$O$250),"")</f>
        <v>0.8333333333</v>
      </c>
      <c r="D4" s="43">
        <f>IFERROR(AVERAGEIF(Crawl_Results!$C$2:$C$250,A4,Crawl_Results!$AH$2:$AH$250),"")</f>
        <v>0.5722222222</v>
      </c>
      <c r="E4" s="43">
        <f>IFERROR(AVERAGEIF(Crawl_Results!$C$2:$C$250,A4,Crawl_Results!$AI$2:$AI$250),"")</f>
        <v>0.3565524878</v>
      </c>
      <c r="F4" s="43">
        <f>IFERROR(AVERAGEIF(Crawl_Results!$C$2:$C$250,A4,Crawl_Results!$Y$2:$Y$250),"")</f>
        <v>1.506944444</v>
      </c>
      <c r="G4" s="43">
        <f>IFERROR(AVERAGEIF(Crawl_Results!$C$2:$C$250,A4,Crawl_Results!$Z$2:$Z$250),"")</f>
        <v>1.764705882</v>
      </c>
      <c r="H4" s="43">
        <f>IFERROR(AVERAGEIF(Crawl_Results!$C$2:$C$250,A4,Crawl_Results!$AD$2:$AD$250),"")</f>
        <v>0.462962963</v>
      </c>
      <c r="I4" s="43">
        <f>IFERROR(AVERAGEIF(Crawl_Results!$C$2:$C$250,A4,Crawl_Results!$AE$2:$AE$250),"")</f>
        <v>0.3888888889</v>
      </c>
      <c r="J4" s="43">
        <f>IFERROR(AVERAGEIFS(Crawl_Results!$AF$2:$AF$250,Crawl_Results!$C$2:$C$250,A4,Crawl_Results!$H$2:$H$250,"pdf"),"")</f>
        <v>1</v>
      </c>
      <c r="K4" s="43">
        <f>IFERROR(AVERAGEIFS(Crawl_Results!$AG$2:$AG$250,Crawl_Results!$C$2:$C$250,A4,Crawl_Results!$I$2:$I$250,"Y"),"")</f>
        <v>0</v>
      </c>
      <c r="L4" s="43">
        <f t="shared" si="1"/>
        <v>0.1666666667</v>
      </c>
      <c r="M4" s="41"/>
      <c r="N4" s="41"/>
      <c r="O4" s="41"/>
      <c r="P4" s="41"/>
      <c r="Q4" s="41"/>
      <c r="R4" s="41"/>
      <c r="S4" s="41"/>
      <c r="T4" s="41"/>
      <c r="U4" s="41"/>
      <c r="V4" s="41"/>
      <c r="W4" s="41"/>
      <c r="X4" s="41"/>
      <c r="Y4" s="41"/>
      <c r="Z4" s="41"/>
    </row>
    <row r="5">
      <c r="A5" s="2" t="s">
        <v>268</v>
      </c>
      <c r="B5" s="42">
        <f>IFERROR(COUNTIF(Crawl_Results!$C$2:$C$250,A5),0)</f>
        <v>18</v>
      </c>
      <c r="C5" s="43">
        <f>IFERROR(AVERAGEIF(Crawl_Results!$C$2:$C$250,A5,Crawl_Results!$O$2:$O$250),"")</f>
        <v>1</v>
      </c>
      <c r="D5" s="43">
        <f>IFERROR(AVERAGEIF(Crawl_Results!$C$2:$C$250,A5,Crawl_Results!$AH$2:$AH$250),"")</f>
        <v>0.760246556</v>
      </c>
      <c r="E5" s="43">
        <f>IFERROR(AVERAGEIF(Crawl_Results!$C$2:$C$250,A5,Crawl_Results!$AI$2:$AI$250),"")</f>
        <v>0.5019802762</v>
      </c>
      <c r="F5" s="43">
        <f>IFERROR(AVERAGEIF(Crawl_Results!$C$2:$C$250,A5,Crawl_Results!$Y$2:$Y$250),"")</f>
        <v>3.590555556</v>
      </c>
      <c r="G5" s="43">
        <f>IFERROR(AVERAGEIF(Crawl_Results!$C$2:$C$250,A5,Crawl_Results!$Z$2:$Z$250),"")</f>
        <v>1</v>
      </c>
      <c r="H5" s="43">
        <f>IFERROR(AVERAGEIF(Crawl_Results!$C$2:$C$250,A5,Crawl_Results!$AD$2:$AD$250),"")</f>
        <v>0.6296296296</v>
      </c>
      <c r="I5" s="43">
        <f>IFERROR(AVERAGEIF(Crawl_Results!$C$2:$C$250,A5,Crawl_Results!$AE$2:$AE$250),"")</f>
        <v>0.8888888889</v>
      </c>
      <c r="J5" s="43">
        <f>IFERROR(AVERAGEIFS(Crawl_Results!$AF$2:$AF$250,Crawl_Results!$C$2:$C$250,A5,Crawl_Results!$H$2:$H$250,"pdf"),"")</f>
        <v>1</v>
      </c>
      <c r="K5" s="43">
        <f>IFERROR(AVERAGEIFS(Crawl_Results!$AG$2:$AG$250,Crawl_Results!$C$2:$C$250,A5,Crawl_Results!$I$2:$I$250,"Y"),"")</f>
        <v>0</v>
      </c>
      <c r="L5" s="43">
        <f t="shared" si="1"/>
        <v>0</v>
      </c>
      <c r="M5" s="41"/>
      <c r="N5" s="41"/>
      <c r="O5" s="41"/>
      <c r="P5" s="41"/>
      <c r="Q5" s="41"/>
      <c r="R5" s="41"/>
      <c r="S5" s="41"/>
      <c r="T5" s="41"/>
      <c r="U5" s="41"/>
      <c r="V5" s="41"/>
      <c r="W5" s="41"/>
      <c r="X5" s="41"/>
      <c r="Y5" s="41"/>
      <c r="Z5" s="41"/>
    </row>
    <row r="6">
      <c r="A6" s="2" t="s">
        <v>314</v>
      </c>
      <c r="B6" s="42">
        <f>IFERROR(COUNTIF(Crawl_Results!$C$2:$C$250,A6),0)</f>
        <v>0</v>
      </c>
      <c r="C6" s="43" t="str">
        <f>IFERROR(AVERAGEIF(Crawl_Results!$C$2:$C$250,A6,Crawl_Results!$O$2:$O$250),"")</f>
        <v/>
      </c>
      <c r="D6" s="43" t="str">
        <f>IFERROR(AVERAGEIF(Crawl_Results!$C$2:$C$250,A6,Crawl_Results!$AH$2:$AH$250),"")</f>
        <v/>
      </c>
      <c r="E6" s="43" t="str">
        <f>IFERROR(AVERAGEIF(Crawl_Results!$C$2:$C$250,A6,Crawl_Results!$AI$2:$AI$250),"")</f>
        <v/>
      </c>
      <c r="F6" s="43" t="str">
        <f>IFERROR(AVERAGEIF(Crawl_Results!$C$2:$C$250,A6,Crawl_Results!$Y$2:$Y$250),"")</f>
        <v/>
      </c>
      <c r="G6" s="43" t="str">
        <f>IFERROR(AVERAGEIF(Crawl_Results!$C$2:$C$250,A6,Crawl_Results!$Z$2:$Z$250),"")</f>
        <v/>
      </c>
      <c r="H6" s="43" t="str">
        <f>IFERROR(AVERAGEIF(Crawl_Results!$C$2:$C$250,A6,Crawl_Results!$AD$2:$AD$250),"")</f>
        <v/>
      </c>
      <c r="I6" s="43" t="str">
        <f>IFERROR(AVERAGEIF(Crawl_Results!$C$2:$C$250,A6,Crawl_Results!$AE$2:$AE$250),"")</f>
        <v/>
      </c>
      <c r="J6" s="43" t="str">
        <f>IFERROR(AVERAGEIFS(Crawl_Results!$AF$2:$AF$250,Crawl_Results!$C$2:$C$250,A6,Crawl_Results!$H$2:$H$250,"pdf"),"")</f>
        <v/>
      </c>
      <c r="K6" s="43" t="str">
        <f>IFERROR(AVERAGEIFS(Crawl_Results!$AG$2:$AG$250,Crawl_Results!$C$2:$C$250,A6,Crawl_Results!$I$2:$I$250,"Y"),"")</f>
        <v/>
      </c>
      <c r="L6" s="43" t="str">
        <f t="shared" si="1"/>
        <v/>
      </c>
      <c r="M6" s="41"/>
      <c r="N6" s="41"/>
      <c r="O6" s="41"/>
      <c r="P6" s="41"/>
      <c r="Q6" s="41"/>
      <c r="R6" s="41"/>
      <c r="S6" s="41"/>
      <c r="T6" s="41"/>
      <c r="U6" s="41"/>
      <c r="V6" s="41"/>
      <c r="W6" s="41"/>
      <c r="X6" s="41"/>
      <c r="Y6" s="41"/>
      <c r="Z6" s="41"/>
    </row>
    <row r="7">
      <c r="A7" s="2" t="s">
        <v>362</v>
      </c>
      <c r="B7" s="42">
        <f>IFERROR(COUNTIF(Crawl_Results!$C$2:$C$250,A7),0)</f>
        <v>0</v>
      </c>
      <c r="C7" s="43" t="str">
        <f>IFERROR(AVERAGEIF(Crawl_Results!$C$2:$C$250,A7,Crawl_Results!$O$2:$O$250),"")</f>
        <v/>
      </c>
      <c r="D7" s="43" t="str">
        <f>IFERROR(AVERAGEIF(Crawl_Results!$C$2:$C$250,A7,Crawl_Results!$AH$2:$AH$250),"")</f>
        <v/>
      </c>
      <c r="E7" s="43" t="str">
        <f>IFERROR(AVERAGEIF(Crawl_Results!$C$2:$C$250,A7,Crawl_Results!$AI$2:$AI$250),"")</f>
        <v/>
      </c>
      <c r="F7" s="43" t="str">
        <f>IFERROR(AVERAGEIF(Crawl_Results!$C$2:$C$250,A7,Crawl_Results!$Y$2:$Y$250),"")</f>
        <v/>
      </c>
      <c r="G7" s="43" t="str">
        <f>IFERROR(AVERAGEIF(Crawl_Results!$C$2:$C$250,A7,Crawl_Results!$Z$2:$Z$250),"")</f>
        <v/>
      </c>
      <c r="H7" s="43" t="str">
        <f>IFERROR(AVERAGEIF(Crawl_Results!$C$2:$C$250,A7,Crawl_Results!$AD$2:$AD$250),"")</f>
        <v/>
      </c>
      <c r="I7" s="43" t="str">
        <f>IFERROR(AVERAGEIF(Crawl_Results!$C$2:$C$250,A7,Crawl_Results!$AE$2:$AE$250),"")</f>
        <v/>
      </c>
      <c r="J7" s="43" t="str">
        <f>IFERROR(AVERAGEIFS(Crawl_Results!$AF$2:$AF$250,Crawl_Results!$C$2:$C$250,A7,Crawl_Results!$H$2:$H$250,"pdf"),"")</f>
        <v/>
      </c>
      <c r="K7" s="43" t="str">
        <f>IFERROR(AVERAGEIFS(Crawl_Results!$AG$2:$AG$250,Crawl_Results!$C$2:$C$250,A7,Crawl_Results!$I$2:$I$250,"Y"),"")</f>
        <v/>
      </c>
      <c r="L7" s="43" t="str">
        <f t="shared" si="1"/>
        <v/>
      </c>
      <c r="M7" s="41"/>
      <c r="N7" s="41"/>
      <c r="O7" s="41"/>
      <c r="P7" s="41"/>
      <c r="Q7" s="41"/>
      <c r="R7" s="41"/>
      <c r="S7" s="41"/>
      <c r="T7" s="41"/>
      <c r="U7" s="41"/>
      <c r="V7" s="41"/>
      <c r="W7" s="41"/>
      <c r="X7" s="41"/>
      <c r="Y7" s="41"/>
      <c r="Z7" s="41"/>
    </row>
    <row r="8">
      <c r="A8" s="41"/>
      <c r="B8" s="41"/>
      <c r="C8" s="41"/>
      <c r="D8" s="41"/>
      <c r="E8" s="41"/>
      <c r="F8" s="41"/>
      <c r="G8" s="41"/>
      <c r="H8" s="41"/>
      <c r="I8" s="41"/>
      <c r="J8" s="41"/>
      <c r="K8" s="41"/>
      <c r="L8" s="41"/>
      <c r="M8" s="41"/>
      <c r="N8" s="41"/>
      <c r="O8" s="41"/>
      <c r="P8" s="41"/>
      <c r="Q8" s="41"/>
      <c r="R8" s="41"/>
      <c r="S8" s="41"/>
      <c r="T8" s="41"/>
      <c r="U8" s="41"/>
      <c r="V8" s="41"/>
      <c r="W8" s="41"/>
      <c r="X8" s="41"/>
      <c r="Y8" s="41"/>
      <c r="Z8" s="41"/>
    </row>
    <row r="9">
      <c r="A9" s="41"/>
      <c r="B9" s="41"/>
      <c r="C9" s="41"/>
      <c r="D9" s="41"/>
      <c r="E9" s="41"/>
      <c r="F9" s="41"/>
      <c r="G9" s="41"/>
      <c r="H9" s="41"/>
      <c r="I9" s="41"/>
      <c r="J9" s="41"/>
      <c r="K9" s="41"/>
      <c r="L9" s="41"/>
      <c r="M9" s="41"/>
      <c r="N9" s="41"/>
      <c r="O9" s="41"/>
      <c r="P9" s="41"/>
      <c r="Q9" s="41"/>
      <c r="R9" s="41"/>
      <c r="S9" s="41"/>
      <c r="T9" s="41"/>
      <c r="U9" s="41"/>
      <c r="V9" s="41"/>
      <c r="W9" s="41"/>
      <c r="X9" s="41"/>
      <c r="Y9" s="41"/>
      <c r="Z9" s="41"/>
    </row>
    <row r="10">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c r="A11" s="41"/>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c r="A12" s="41"/>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c r="A13" s="41"/>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c r="A17" s="41"/>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c r="A18" s="41"/>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printOptions/>
  <pageMargins bottom="1.0" footer="0.0" header="0.0" left="0.75" right="0.75" top="1.0"/>
  <pageSetup orientation="landscape"/>
  <drawing r:id="rId1"/>
</worksheet>
</file>